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gov\OneDrive\Área de Trabalho\Entrevistas MESTRADO\Correção final deentrega\Publicação Livestock\"/>
    </mc:Choice>
  </mc:AlternateContent>
  <xr:revisionPtr revIDLastSave="0" documentId="13_ncr:1_{5FC88BFC-E094-4A75-B9D3-8CE8411E89F7}" xr6:coauthVersionLast="47" xr6:coauthVersionMax="47" xr10:uidLastSave="{00000000-0000-0000-0000-000000000000}"/>
  <bookViews>
    <workbookView xWindow="38280" yWindow="-120" windowWidth="29040" windowHeight="15720" xr2:uid="{E0D7DE1B-2E9C-482E-8ED8-1F33DB707946}"/>
  </bookViews>
  <sheets>
    <sheet name="base_bruta_cod" sheetId="2" r:id="rId1"/>
    <sheet name="questionario_completo" sheetId="1" r:id="rId2"/>
  </sheets>
  <definedNames>
    <definedName name="_xlnm._FilterDatabase" localSheetId="0" hidden="1">base_bruta_cod!$A$1:$G$402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3" i="1" l="1"/>
</calcChain>
</file>

<file path=xl/sharedStrings.xml><?xml version="1.0" encoding="utf-8"?>
<sst xmlns="http://schemas.openxmlformats.org/spreadsheetml/2006/main" count="1725" uniqueCount="252">
  <si>
    <t>1.Nome do produtor:</t>
  </si>
  <si>
    <t>2.Possui internet?</t>
  </si>
  <si>
    <t>3.Possui energia elétrica?</t>
  </si>
  <si>
    <t>4.Há quanto tempo atua na atividade leiteira?(anos)</t>
  </si>
  <si>
    <t>5.A atividade foi herdada de gerações anteriores?</t>
  </si>
  <si>
    <t>6.Quantas pessoas trabalham diretamente na atividade leiteira?</t>
  </si>
  <si>
    <t>7.Possui assistência técnica?</t>
  </si>
  <si>
    <t>8.Se sim, quem fornece assistência técnica?</t>
  </si>
  <si>
    <t>9.Essa assistência atende às necessidades do produtor?</t>
  </si>
  <si>
    <t>10.	Participa de algum projeto técnico ou de extensão?</t>
  </si>
  <si>
    <t>11.Sistema de criação predominante:</t>
  </si>
  <si>
    <t>12.Tipo de leite produzido:</t>
  </si>
  <si>
    <t>13.Tipo de ordenha:</t>
  </si>
  <si>
    <t>14.Se mecânica, qual tipo?</t>
  </si>
  <si>
    <t>15.Frequência de troca das teteiras (meses):</t>
  </si>
  <si>
    <t>16.Pressão do manômetro da ordenhadeira (KPa):</t>
  </si>
  <si>
    <t>17.A ordenha é feita com o bezerro ao pé?</t>
  </si>
  <si>
    <t>18.Número de ordenhas diárias:</t>
  </si>
  <si>
    <t>19.Horários ordenha</t>
  </si>
  <si>
    <t>20.Intervalo de ordenha</t>
  </si>
  <si>
    <t>21.Tipo de curral:</t>
  </si>
  <si>
    <t>22.Possui bebedouro no curral?</t>
  </si>
  <si>
    <t>23.O bebedouro possui bóia?</t>
  </si>
  <si>
    <t>24.Origem da água:</t>
  </si>
  <si>
    <t>25.A água é tratada?</t>
  </si>
  <si>
    <t>26.Se sim qual o tipo de tratamento?</t>
  </si>
  <si>
    <t>27.Realiza manejo do esterco?</t>
  </si>
  <si>
    <t>28.Como realiza o manejo do esterco?</t>
  </si>
  <si>
    <t>29.Equipamentos diponíveis na propriedade</t>
  </si>
  <si>
    <t>30.como é o transporte do leite até o destino final?</t>
  </si>
  <si>
    <t>31.Valor do litro do leite</t>
  </si>
  <si>
    <t>32.Raça predominante</t>
  </si>
  <si>
    <t>33.Quantidade de vacas em lactação:</t>
  </si>
  <si>
    <t>34.Quantidade de vacas secas:</t>
  </si>
  <si>
    <t>35.Quantidade de bezerros (0–12 meses):</t>
  </si>
  <si>
    <t>36.Quantidade de novilhas (&gt;12 meses):</t>
  </si>
  <si>
    <t>37.Quantidade total de animais:</t>
  </si>
  <si>
    <t>38.Volume diário médio de leite produzido (litros):</t>
  </si>
  <si>
    <t>39.Quantidade média de leite por vaca (litros/vaca/dia):</t>
  </si>
  <si>
    <t>40.Possui metas de qualidade do leite?</t>
  </si>
  <si>
    <t>41.Se sim,  quais?</t>
  </si>
  <si>
    <t>42.como é feita a secagem das vacas ?</t>
  </si>
  <si>
    <t>43.Quantos dias as vacas são secas antes do parto?</t>
  </si>
  <si>
    <t>44.Realiza suplementação pré parto?</t>
  </si>
  <si>
    <t>45.As vacinas são aplicadas regularmente?</t>
  </si>
  <si>
    <t>46.Existe calendário sanitário?</t>
  </si>
  <si>
    <t>47.Qual a taxa de infestação de carrapatos em vacas?</t>
  </si>
  <si>
    <t>48.Qual a taxa de infestação de moscas ou bernes?</t>
  </si>
  <si>
    <t>49.Realiza vermifugação?</t>
  </si>
  <si>
    <t>50.Produto utilizado para vermifugação:</t>
  </si>
  <si>
    <t>51.Principais doenças que afetam bezerras:</t>
  </si>
  <si>
    <t>52.As bezerras doentes são tratadas?</t>
  </si>
  <si>
    <t xml:space="preserve">53.Tipo de tratamento utilizado: </t>
  </si>
  <si>
    <t>54.Frequência de exames de brucelose/tuberculose:</t>
  </si>
  <si>
    <t>55.Possui acesso às análises de leite fornecidas pela cooperativa?</t>
  </si>
  <si>
    <t>56.Quais parâmetros são avaliados?</t>
  </si>
  <si>
    <t>57.Realiza pré-dipping?</t>
  </si>
  <si>
    <t>58.Produto utilizado no pré-dipping: ________</t>
  </si>
  <si>
    <t>59.Material de secagem:</t>
  </si>
  <si>
    <t>60.Realiza pós-dipping?</t>
  </si>
  <si>
    <t>61.Produto utilizado no pós-dipping: ________</t>
  </si>
  <si>
    <t>62.Higienização dos utensílios antes da ordenha:</t>
  </si>
  <si>
    <t>63.Secagem dos utensílios:</t>
  </si>
  <si>
    <t>64.Temperatura da água usada na limpeza:</t>
  </si>
  <si>
    <t>65.Higienização da ordenhadeira:</t>
  </si>
  <si>
    <t>66.Incidência de mastite</t>
  </si>
  <si>
    <t xml:space="preserve">67.Utiliza algum método de diagnóstico da mastite? </t>
  </si>
  <si>
    <t>68.	Quais métodos você utiliza?</t>
  </si>
  <si>
    <t>69.Frequência  do uso do teste?</t>
  </si>
  <si>
    <t>70.Como acompanha atualmente a qualidade do leite?</t>
  </si>
  <si>
    <t>71.Já ouviu falar em tecnologias que detectam mastite automaticamente (IoT,  sensores,  etc.)?</t>
  </si>
  <si>
    <t>72.Utiliza algum aplicativo ou IoT?</t>
  </si>
  <si>
    <t xml:space="preserve">73.Quais tecnologias utiliza atualmente? </t>
  </si>
  <si>
    <t>74.Como você avalia a sua familiaridade e confiança com tecnologias digitais?</t>
  </si>
  <si>
    <t>75.Teria interesse em adotar um dispositivo IoT para detecção precoce da mastite?</t>
  </si>
  <si>
    <t>76.Fatores que influenciam a decisão:</t>
  </si>
  <si>
    <t>77.Em uma escala de 1 a 5 quão disposto você estaria a testar um dispositivo IoT para monitoramento da mastite?</t>
  </si>
  <si>
    <t>Quantidades de Suspeita de Mastite no Período</t>
  </si>
  <si>
    <t>MAF01</t>
  </si>
  <si>
    <t>Sim</t>
  </si>
  <si>
    <t>Não</t>
  </si>
  <si>
    <t>SENAR / Cooperativa</t>
  </si>
  <si>
    <t>EPAGRI</t>
  </si>
  <si>
    <t>Confinado</t>
  </si>
  <si>
    <t>Leite Cru</t>
  </si>
  <si>
    <t>Mecânica</t>
  </si>
  <si>
    <t>Canalizada</t>
  </si>
  <si>
    <t>06:00-18:00</t>
  </si>
  <si>
    <t xml:space="preserve">Coberto com piso concretado </t>
  </si>
  <si>
    <t>Nascente/Poço artesiano</t>
  </si>
  <si>
    <t>N/A</t>
  </si>
  <si>
    <t>Esterqueira e passa para as lavouras</t>
  </si>
  <si>
    <t>Trator; ordenhadeira automática; tanque resfriador 2000L</t>
  </si>
  <si>
    <t>Caminhão Refrigerado</t>
  </si>
  <si>
    <t>Holandesa (mista)</t>
  </si>
  <si>
    <t>Gordura, Proteina, CCS, CBT</t>
  </si>
  <si>
    <t>&gt;Antibiótico injetável e mamario com selante
&gt; Redução e corte abrupto</t>
  </si>
  <si>
    <t>40 a 60 dias</t>
  </si>
  <si>
    <t>Não tem</t>
  </si>
  <si>
    <t>não soube informar</t>
  </si>
  <si>
    <t>não tem</t>
  </si>
  <si>
    <t>Não realiza (argumentou que em SC não é obrigatório)</t>
  </si>
  <si>
    <t>Espuma</t>
  </si>
  <si>
    <t>Papel Toalha</t>
  </si>
  <si>
    <t>Não soube informar</t>
  </si>
  <si>
    <t>Ao ar livre</t>
  </si>
  <si>
    <t>Quente</t>
  </si>
  <si>
    <t>Detergente alcalino + Detergente ácido</t>
  </si>
  <si>
    <t>Baixa</t>
  </si>
  <si>
    <t>Caneco de fundo preto e teste CMT</t>
  </si>
  <si>
    <t>Diariamente (caneco preto); CMT conforme necessidade</t>
  </si>
  <si>
    <t>App da Cooperativa</t>
  </si>
  <si>
    <t>Aplicativo Cooperdia</t>
  </si>
  <si>
    <t>Moderado</t>
  </si>
  <si>
    <t>Não(vai utilizar oredenhadeira que detecta alteração)</t>
  </si>
  <si>
    <t>Falta de interesse</t>
  </si>
  <si>
    <t>MAF02</t>
  </si>
  <si>
    <t>Cooperativa</t>
  </si>
  <si>
    <t>Pasto</t>
  </si>
  <si>
    <t>Balde ao pé</t>
  </si>
  <si>
    <t>05:30-17:30</t>
  </si>
  <si>
    <t>Espalha no pasto</t>
  </si>
  <si>
    <t>Trator, ordenhadeira de duas teteiras, resfriador 330 L</t>
  </si>
  <si>
    <t>Jersey &gt; Holandesa &gt; Mista</t>
  </si>
  <si>
    <t>60 dias</t>
  </si>
  <si>
    <t>Alta</t>
  </si>
  <si>
    <t>Padrão</t>
  </si>
  <si>
    <t>Agua corrente</t>
  </si>
  <si>
    <t>Média</t>
  </si>
  <si>
    <t>Na Secagem e Quando identifica sinais clínicos</t>
  </si>
  <si>
    <t>Utiliza remédio homeopático Masticem e pretende encerrar produção</t>
  </si>
  <si>
    <t>MAF03</t>
  </si>
  <si>
    <t>07:00-19:00</t>
  </si>
  <si>
    <t>Nascente</t>
  </si>
  <si>
    <t>Espalha no pasto e lavoura</t>
  </si>
  <si>
    <t>Trator, ordenhadeira, tanque refrigerado</t>
  </si>
  <si>
    <t>Caneca preta</t>
  </si>
  <si>
    <t>Quando identificava sinais clínicos</t>
  </si>
  <si>
    <t>Utiliza remédio homeopático, não soube informar o nome</t>
  </si>
  <si>
    <t>MAF04</t>
  </si>
  <si>
    <t>Fossa</t>
  </si>
  <si>
    <t>Pneumonia, diarreia, verminose (muito pouco)</t>
  </si>
  <si>
    <t>Antibiótico</t>
  </si>
  <si>
    <t>Secagem ao ar livre</t>
  </si>
  <si>
    <t xml:space="preserve"> Teste CMT e observação clínica</t>
  </si>
  <si>
    <t>Depende da condição</t>
  </si>
  <si>
    <t>Condição financeira</t>
  </si>
  <si>
    <t>MAF05</t>
  </si>
  <si>
    <t>06:30-17:30</t>
  </si>
  <si>
    <t>Holandesa</t>
  </si>
  <si>
    <t>Paracur</t>
  </si>
  <si>
    <t>Não realiza</t>
  </si>
  <si>
    <t>Sanitizante</t>
  </si>
  <si>
    <t>Observação clínica</t>
  </si>
  <si>
    <t>Quando identifica sinais clínicos</t>
  </si>
  <si>
    <t>Custo do equipamento&gt; facilidade de uso</t>
  </si>
  <si>
    <t>MAF06</t>
  </si>
  <si>
    <t>Leite cru</t>
  </si>
  <si>
    <t>Automática</t>
  </si>
  <si>
    <t>06:30 - 18:30</t>
  </si>
  <si>
    <t>Trator e ordenhadeira automática</t>
  </si>
  <si>
    <t>Medicação (veterinário particular)</t>
  </si>
  <si>
    <t>Proteína, CCS e gordura</t>
  </si>
  <si>
    <t>Selante da cooperdia</t>
  </si>
  <si>
    <t xml:space="preserve"> CMT e observação clínica</t>
  </si>
  <si>
    <t>Conforme diagnóstico clínico</t>
  </si>
  <si>
    <t>Facilidade de uso, custo e precisão</t>
  </si>
  <si>
    <t>MAF07</t>
  </si>
  <si>
    <t>EPAGRI / Cooperativa</t>
  </si>
  <si>
    <t>05:30 - 17:30</t>
  </si>
  <si>
    <t>Toalha de papel</t>
  </si>
  <si>
    <t>MAF08</t>
  </si>
  <si>
    <t>Senar</t>
  </si>
  <si>
    <t>Poço artesiano</t>
  </si>
  <si>
    <t>Panacur  - Oricoben</t>
  </si>
  <si>
    <t>Diarréia</t>
  </si>
  <si>
    <t>Medicação</t>
  </si>
  <si>
    <t>Barera</t>
  </si>
  <si>
    <t>Todo dia</t>
  </si>
  <si>
    <t xml:space="preserve"> Aplicativo Cooperdia, + Leite</t>
  </si>
  <si>
    <t>Facilidade de uso&gt;Confiabilidade dos dados</t>
  </si>
  <si>
    <t>MAF09</t>
  </si>
  <si>
    <t>06:00 - 18:00</t>
  </si>
  <si>
    <t>Trator para lida; tanque resfriador 2000L</t>
  </si>
  <si>
    <t>Papel toalha</t>
  </si>
  <si>
    <t>MAF10</t>
  </si>
  <si>
    <t>Semi confinado</t>
  </si>
  <si>
    <t>Ozol</t>
  </si>
  <si>
    <t>Corta Curso</t>
  </si>
  <si>
    <t>Launer</t>
  </si>
  <si>
    <t>Treinamento e Manutenção e reposição de peças</t>
  </si>
  <si>
    <t>MAF11</t>
  </si>
  <si>
    <t>06:30 - 17:00</t>
  </si>
  <si>
    <t>Ivermectina</t>
  </si>
  <si>
    <t>Probiotico</t>
  </si>
  <si>
    <t>Caneca preta/ CMT</t>
  </si>
  <si>
    <t>Todo dia/ Quando identifica sinais clínicos</t>
  </si>
  <si>
    <t>Aplicativo Cooperdia, + Leite</t>
  </si>
  <si>
    <t>Custo, Treinamento e Manutenção</t>
  </si>
  <si>
    <t>MAF12</t>
  </si>
  <si>
    <t>07:30 - 18:00</t>
  </si>
  <si>
    <t>Holandesa&gt;Jersey</t>
  </si>
  <si>
    <t>30 - 60 dias</t>
  </si>
  <si>
    <t>Pro-verme</t>
  </si>
  <si>
    <t/>
  </si>
  <si>
    <t>Borgal</t>
  </si>
  <si>
    <t>Semanal</t>
  </si>
  <si>
    <t>Facilidade de uso</t>
  </si>
  <si>
    <t>MAF13</t>
  </si>
  <si>
    <t>Semi-canalizada</t>
  </si>
  <si>
    <t>Cloro</t>
  </si>
  <si>
    <t>Ripercol</t>
  </si>
  <si>
    <t>Aplicativo Cooperdia, Tag Senar</t>
  </si>
  <si>
    <t>Confiabilidade dos dados&gt; Facilidade de uso&gt; Reposição (manutenção)</t>
  </si>
  <si>
    <t>MAF14</t>
  </si>
  <si>
    <t>07:00 - 17:00</t>
  </si>
  <si>
    <t>Jersey</t>
  </si>
  <si>
    <t>Manutenção e resposição de peças&gt; facilidade de uso</t>
  </si>
  <si>
    <t>MAF15</t>
  </si>
  <si>
    <t>05:15 - 18:15</t>
  </si>
  <si>
    <t>Coberto com chão batido</t>
  </si>
  <si>
    <t>45-50 dias</t>
  </si>
  <si>
    <t>Morna</t>
  </si>
  <si>
    <t>MAF16</t>
  </si>
  <si>
    <t>Programa Terra Boa / Epagri</t>
  </si>
  <si>
    <t>06:30 - 17:30</t>
  </si>
  <si>
    <t>Observação clínica e exames laboratoriais</t>
  </si>
  <si>
    <t>Quando há suspeita ou controle de CCS</t>
  </si>
  <si>
    <t>Falta de interesse no momento</t>
  </si>
  <si>
    <t>MAF17</t>
  </si>
  <si>
    <t>06:00 - 16:00</t>
  </si>
  <si>
    <t>Custo do equipamento&gt;Confiabiilidade dos dados</t>
  </si>
  <si>
    <t>MAF18</t>
  </si>
  <si>
    <t>MAF19</t>
  </si>
  <si>
    <t>Caneca preta/ Observação clínica</t>
  </si>
  <si>
    <t>MAF20</t>
  </si>
  <si>
    <t>65 Kpa</t>
  </si>
  <si>
    <t>6:00 - 16:00</t>
  </si>
  <si>
    <t>águas superficiais</t>
  </si>
  <si>
    <t>ETA</t>
  </si>
  <si>
    <t>Manejo</t>
  </si>
  <si>
    <t>Delaval</t>
  </si>
  <si>
    <t>exames laboratoriais local</t>
  </si>
  <si>
    <t>Aplicativo do laboratória da cultura, Aplicativo Cooperdia, + Leite</t>
  </si>
  <si>
    <t>Muito Alta</t>
  </si>
  <si>
    <t>produtor</t>
  </si>
  <si>
    <t>data_analise</t>
  </si>
  <si>
    <t>quantidade_leite_bom</t>
  </si>
  <si>
    <t>vl_gordura</t>
  </si>
  <si>
    <t>vl_proteina</t>
  </si>
  <si>
    <t>vl_ccs</t>
  </si>
  <si>
    <t>vl_cbt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</si>
</sst>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 tint="4.9989318521683403E-2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4" fontId="5" fillId="0" borderId="1" xfId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14" fontId="7" fillId="0" borderId="3" xfId="0" applyNumberFormat="1" applyFont="1" applyFill="1" applyBorder="1" applyAlignment="1">
      <alignment horizontal="center"/>
    </xf>
    <xf numFmtId="4" fontId="7" fillId="0" borderId="3" xfId="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93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650F8E-6AC5-4B19-9626-0DE9E1A96FB8}" name="Tabela2" displayName="Tabela2" ref="A1:G402" totalsRowShown="0" headerRowDxfId="1" dataDxfId="0" headerRowBorderDxfId="10" tableBorderDxfId="11" totalsRowBorderDxfId="9">
  <autoFilter ref="A1:G402" xr:uid="{970BDA6F-0BE5-4E83-84B8-A55088498913}"/>
  <tableColumns count="7">
    <tableColumn id="1" xr3:uid="{BB0C5E5B-F50D-4134-AC7A-C5E449C630E1}" name="produtor" dataDxfId="8"/>
    <tableColumn id="2" xr3:uid="{342A2E34-3665-442C-BB0B-4EB5F2EF3974}" name="data_analise" dataDxfId="7"/>
    <tableColumn id="3" xr3:uid="{72D94766-E810-4F31-9FA2-CE879558F9C1}" name="quantidade_leite_bom" dataDxfId="6"/>
    <tableColumn id="4" xr3:uid="{C37C5179-AA4D-48C7-B3E8-9A4C44F2CA86}" name="vl_gordura" dataDxfId="5"/>
    <tableColumn id="5" xr3:uid="{C0FE1BE6-969A-4157-B582-285349F3E952}" name="vl_proteina" dataDxfId="4"/>
    <tableColumn id="6" xr3:uid="{94686C48-CD0D-4AE9-8BE1-E25A05A4890E}" name="vl_ccs" dataDxfId="3"/>
    <tableColumn id="7" xr3:uid="{9C23694A-EFBA-4AE3-ACF5-D2650F2BEEF7}" name="vl_cb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235E8-BC1B-47E7-B784-3A266D0B9AF9}" name="Tabela1644" displayName="Tabela1644" ref="A1:BZ1048576" totalsRowShown="0" headerRowDxfId="92" dataDxfId="91" tableBorderDxfId="90">
  <autoFilter ref="A1:BZ1048576" xr:uid="{D42F052F-F3D2-4AA8-B239-F5DAF735F3EB}"/>
  <sortState xmlns:xlrd2="http://schemas.microsoft.com/office/spreadsheetml/2017/richdata2" ref="A2:BZ1070">
    <sortCondition ref="A1:A1048576"/>
  </sortState>
  <tableColumns count="78">
    <tableColumn id="1" xr3:uid="{12819907-93B1-4C0B-BEC3-BD5B60005C74}" name="1.Nome do produtor:" dataDxfId="89"/>
    <tableColumn id="3" xr3:uid="{98116485-E44C-47F7-858F-A89735B3DBDC}" name="2.Possui internet?" dataDxfId="88"/>
    <tableColumn id="4" xr3:uid="{6AB3729D-1E26-4382-816D-817FB7802CA8}" name="3.Possui energia elétrica?" dataDxfId="87"/>
    <tableColumn id="5" xr3:uid="{6A4F8BD3-CD53-47B4-B7B0-015DE6319694}" name="4.Há quanto tempo atua na atividade leiteira?(anos)" dataDxfId="86"/>
    <tableColumn id="6" xr3:uid="{0B9284E1-0113-4B6D-8F0D-6A0E66950C19}" name="5.A atividade foi herdada de gerações anteriores?" dataDxfId="85"/>
    <tableColumn id="7" xr3:uid="{7CC88E56-CE85-4750-98EA-E21CBBB292F3}" name="6.Quantas pessoas trabalham diretamente na atividade leiteira?" dataDxfId="84"/>
    <tableColumn id="8" xr3:uid="{3C693931-1F30-4A11-A0B8-C53BFEB4C1D0}" name="7.Possui assistência técnica?" dataDxfId="83"/>
    <tableColumn id="9" xr3:uid="{A3352184-368F-495C-ADAC-3C3532577C62}" name="8.Se sim, quem fornece assistência técnica?" dataDxfId="82"/>
    <tableColumn id="10" xr3:uid="{864B8CE2-3E45-4FE7-AB55-636250CFA7CC}" name="9.Essa assistência atende às necessidades do produtor?" dataDxfId="81"/>
    <tableColumn id="71" xr3:uid="{AD41F677-C041-4620-AA32-771431F91026}" name="10._x0009_Participa de algum projeto técnico ou de extensão?" dataDxfId="80"/>
    <tableColumn id="11" xr3:uid="{8E62DA4C-3F31-4BD9-A175-6465ECE8F32E}" name="11.Sistema de criação predominante:" dataDxfId="79"/>
    <tableColumn id="12" xr3:uid="{D6F5656D-1C37-4B00-BF00-3760E9C68943}" name="12.Tipo de leite produzido:" dataDxfId="78"/>
    <tableColumn id="13" xr3:uid="{5DFB2110-C0E2-42AD-8CEC-77873FF7DAA6}" name="13.Tipo de ordenha:" dataDxfId="77"/>
    <tableColumn id="14" xr3:uid="{FF983016-8D3F-4637-B4B3-A965F59F1DC9}" name="14.Se mecânica, qual tipo?" dataDxfId="76"/>
    <tableColumn id="15" xr3:uid="{B8DCE935-9DA0-4C2C-BCF4-8553A8E5D3D0}" name="15.Frequência de troca das teteiras (meses):" dataDxfId="75"/>
    <tableColumn id="16" xr3:uid="{78630C29-9013-45B7-B0A8-40DD3596C613}" name="16.Pressão do manômetro da ordenhadeira (KPa):" dataDxfId="74"/>
    <tableColumn id="17" xr3:uid="{0B62459D-722A-4BDF-BF79-9AA374891254}" name="17.A ordenha é feita com o bezerro ao pé?" dataDxfId="73"/>
    <tableColumn id="18" xr3:uid="{3DD98996-8B1F-4C13-9BD1-5895ED687F01}" name="18.Número de ordenhas diárias:" dataDxfId="72"/>
    <tableColumn id="81" xr3:uid="{6F37BF5D-65BA-4B43-BB50-B2155951198A}" name="19.Horários ordenha" dataDxfId="71"/>
    <tableColumn id="19" xr3:uid="{87110DB8-B9F5-451B-A15C-71E2F171DD89}" name="20.Intervalo de ordenha" dataDxfId="70"/>
    <tableColumn id="20" xr3:uid="{78260E77-4859-4610-B27E-F205F3870187}" name="21.Tipo de curral:" dataDxfId="69"/>
    <tableColumn id="21" xr3:uid="{66737D5D-F986-44C1-BDA7-F7A2537C83CD}" name="22.Possui bebedouro no curral?" dataDxfId="68"/>
    <tableColumn id="22" xr3:uid="{9B18F2EB-6F1A-4B3E-8741-A60256DC2C83}" name="23.O bebedouro possui bóia?" dataDxfId="67"/>
    <tableColumn id="23" xr3:uid="{C0D55906-CD4E-4179-9E1B-4959143C061E}" name="24.Origem da água:" dataDxfId="66"/>
    <tableColumn id="24" xr3:uid="{92DD9520-B945-438C-8ACC-A19E04005783}" name="25.A água é tratada?" dataDxfId="65"/>
    <tableColumn id="25" xr3:uid="{BC82A3FA-887C-477A-ACAD-63ABF440A8E7}" name="26.Se sim qual o tipo de tratamento?" dataDxfId="64"/>
    <tableColumn id="26" xr3:uid="{20929C63-C31E-48F8-BF0F-73EA100C7C94}" name="27.Realiza manejo do esterco?" dataDxfId="63"/>
    <tableColumn id="27" xr3:uid="{1F9795C7-8EC2-475D-9D6C-A78FE2F765D3}" name="28.Como realiza o manejo do esterco?" dataDxfId="62"/>
    <tableColumn id="72" xr3:uid="{ADDEBA50-B60C-4DFB-9C63-ABECCD0D68E6}" name="29.Equipamentos diponíveis na propriedade" dataDxfId="61"/>
    <tableColumn id="73" xr3:uid="{D58D3121-B1AA-4608-9D58-205D67151FF6}" name="30.como é o transporte do leite até o destino final?" dataDxfId="60"/>
    <tableColumn id="28" xr3:uid="{4016D1C5-7723-42B0-815D-2F43B683880A}" name="31.Valor do litro do leite" dataDxfId="59"/>
    <tableColumn id="29" xr3:uid="{2EDDCB99-40EA-49F0-B8BD-0A627D733AC7}" name="32.Raça predominante" dataDxfId="58"/>
    <tableColumn id="30" xr3:uid="{821042F6-EB2A-4685-8E45-59B4EE3061E5}" name="33.Quantidade de vacas em lactação:" dataDxfId="57"/>
    <tableColumn id="31" xr3:uid="{A83CFBCC-0C3E-4424-8EF4-4FFC8FD73248}" name="34.Quantidade de vacas secas:" dataDxfId="56"/>
    <tableColumn id="32" xr3:uid="{45B9AC5F-01EF-4B36-80D0-9DBE783BD86C}" name="35.Quantidade de bezerros (0–12 meses):" dataDxfId="55"/>
    <tableColumn id="33" xr3:uid="{BC4FF178-7A77-4C24-A26D-859DBB31A88B}" name="36.Quantidade de novilhas (&gt;12 meses):" dataDxfId="54"/>
    <tableColumn id="34" xr3:uid="{1B94CACD-E261-428C-B844-CE93E3F3D242}" name="37.Quantidade total de animais:" dataDxfId="53"/>
    <tableColumn id="35" xr3:uid="{35E40483-6AB6-4C96-831F-3EC3A24A98CB}" name="38.Volume diário médio de leite produzido (litros):" dataDxfId="52"/>
    <tableColumn id="36" xr3:uid="{3FF55EFC-38F7-45F9-8D28-FB6AD7B28428}" name="39.Quantidade média de leite por vaca (litros/vaca/dia):" dataDxfId="51"/>
    <tableColumn id="37" xr3:uid="{7A69E83C-5F9D-4FB9-A166-F1E284394383}" name="40.Possui metas de qualidade do leite?" dataDxfId="50"/>
    <tableColumn id="38" xr3:uid="{AD210634-F03A-4E51-ADA8-D12F9FD7E4DF}" name="41.Se sim,  quais?" dataDxfId="49"/>
    <tableColumn id="74" xr3:uid="{05A2915A-0793-4581-A328-B15A37B5B5A7}" name="42.como é feita a secagem das vacas ?" dataDxfId="48"/>
    <tableColumn id="75" xr3:uid="{57458F0F-CCE7-4417-97D6-C90B5717E304}" name="43.Quantos dias as vacas são secas antes do parto?" dataDxfId="47"/>
    <tableColumn id="76" xr3:uid="{C45C1A5B-BAFC-42BB-8249-A4B9939C3F18}" name="44.Realiza suplementação pré parto?" dataDxfId="46"/>
    <tableColumn id="39" xr3:uid="{50FE3F1A-2E07-4B3C-B6EF-5F4A93E9B700}" name="45.As vacinas são aplicadas regularmente?" dataDxfId="45"/>
    <tableColumn id="40" xr3:uid="{E51360C0-A611-4014-9BA0-2E0826A78829}" name="46.Existe calendário sanitário?" dataDxfId="44"/>
    <tableColumn id="41" xr3:uid="{23387768-1279-41EF-A954-871D3FD04344}" name="47.Qual a taxa de infestação de carrapatos em vacas?" dataDxfId="43"/>
    <tableColumn id="42" xr3:uid="{751672B6-F924-4D89-8295-CFBEB4C7C37E}" name="48.Qual a taxa de infestação de moscas ou bernes?" dataDxfId="42"/>
    <tableColumn id="43" xr3:uid="{D4019A7C-BE4C-4EBC-8D60-6797DD95A288}" name="49.Realiza vermifugação?" dataDxfId="41"/>
    <tableColumn id="44" xr3:uid="{9770A814-D8E4-40FC-BFED-DFDAB5C0A717}" name="50.Produto utilizado para vermifugação:" dataDxfId="40"/>
    <tableColumn id="45" xr3:uid="{EC513A9C-5455-4970-A720-584A67D53CDC}" name="51.Principais doenças que afetam bezerras:" dataDxfId="39"/>
    <tableColumn id="46" xr3:uid="{7EC8598D-B281-4364-8E50-585CE9F0755B}" name="52.As bezerras doentes são tratadas?" dataDxfId="38"/>
    <tableColumn id="47" xr3:uid="{6984391A-DEFC-4EC3-87F4-AAF56649EEA9}" name="53.Tipo de tratamento utilizado: " dataDxfId="37"/>
    <tableColumn id="48" xr3:uid="{2DA46F28-43CB-4FB5-A0C7-C7BE2D04922A}" name="54.Frequência de exames de brucelose/tuberculose:" dataDxfId="36"/>
    <tableColumn id="49" xr3:uid="{D1EDAD1B-AB99-45D3-9789-9C6EB1D77E51}" name="55.Possui acesso às análises de leite fornecidas pela cooperativa?" dataDxfId="35"/>
    <tableColumn id="50" xr3:uid="{B8B63657-3979-4F54-9781-3902922FC164}" name="56.Quais parâmetros são avaliados?" dataDxfId="34"/>
    <tableColumn id="51" xr3:uid="{34ACE5BA-7579-4B6C-9963-024CC917CBB0}" name="57.Realiza pré-dipping?" dataDxfId="33"/>
    <tableColumn id="52" xr3:uid="{AAB72A7C-F1C9-4D5D-B0E3-B30DAE82CBB8}" name="58.Produto utilizado no pré-dipping: ________" dataDxfId="32"/>
    <tableColumn id="53" xr3:uid="{8AC00F64-A72E-4D81-9F19-6D924EB9D984}" name="59.Material de secagem:" dataDxfId="31"/>
    <tableColumn id="54" xr3:uid="{65747780-BCEB-4A0B-9ACE-3F12DF763B53}" name="60.Realiza pós-dipping?" dataDxfId="30"/>
    <tableColumn id="55" xr3:uid="{1B4ED1B5-0322-4701-BE56-9C96E0522822}" name="61.Produto utilizado no pós-dipping: ________" dataDxfId="29"/>
    <tableColumn id="56" xr3:uid="{976D7741-1553-4CF7-90F5-21CBC8008937}" name="62.Higienização dos utensílios antes da ordenha:" dataDxfId="28"/>
    <tableColumn id="57" xr3:uid="{BAA69519-77ED-4D5F-8175-BB69CBCC731B}" name="63.Secagem dos utensílios:" dataDxfId="27"/>
    <tableColumn id="58" xr3:uid="{AAE7E971-92C6-45F4-9ABA-1357E4CB5490}" name="64.Temperatura da água usada na limpeza:" dataDxfId="26"/>
    <tableColumn id="59" xr3:uid="{25B6285D-819C-494B-A47F-90ECA4D28AFD}" name="65.Higienização da ordenhadeira:" dataDxfId="25"/>
    <tableColumn id="60" xr3:uid="{3DA20872-F9DA-4BC5-BA5B-2A6B258E82C0}" name="66.Incidência de mastite" dataDxfId="24"/>
    <tableColumn id="82" xr3:uid="{54308FB0-8506-4EEA-A69A-7C09D1FB43F5}" name="67.Utiliza algum método de diagnóstico da mastite? " dataDxfId="23"/>
    <tableColumn id="83" xr3:uid="{83E22CB4-D745-496E-A33D-4DDE1110953A}" name="68._x0009_Quais métodos você utiliza?" dataDxfId="22"/>
    <tableColumn id="62" xr3:uid="{D0F6D6BC-E834-4915-BB84-EB97CDB61A9E}" name="69.Frequência  do uso do teste?" dataDxfId="21"/>
    <tableColumn id="70" xr3:uid="{EE3E37DF-E744-420E-B65D-7B8610BC5BA1}" name="70.Como acompanha atualmente a qualidade do leite?" dataDxfId="20"/>
    <tableColumn id="63" xr3:uid="{210893A2-0B4D-41D3-83D4-FD98C0A5FCBA}" name="71.Já ouviu falar em tecnologias que detectam mastite automaticamente (IoT,  sensores,  etc.)?" dataDxfId="19"/>
    <tableColumn id="64" xr3:uid="{915C6347-C65A-455B-8037-E3D41E5DC0E2}" name="72.Utiliza algum aplicativo ou IoT?" dataDxfId="18"/>
    <tableColumn id="65" xr3:uid="{9D0966B1-132E-4D8C-9121-E59743801FC5}" name="73.Quais tecnologias utiliza atualmente? " dataDxfId="17"/>
    <tableColumn id="66" xr3:uid="{2C39BF1B-D44A-4A2D-8E3F-789818911048}" name="74.Como você avalia a sua familiaridade e confiança com tecnologias digitais?" dataDxfId="16"/>
    <tableColumn id="67" xr3:uid="{4A3C66B6-1F86-4D4B-AFFF-533209998559}" name="75.Teria interesse em adotar um dispositivo IoT para detecção precoce da mastite?" dataDxfId="15"/>
    <tableColumn id="68" xr3:uid="{22BA4795-58E1-4AC0-9134-2DD0D95BDB64}" name="76.Fatores que influenciam a decisão:" dataDxfId="14"/>
    <tableColumn id="69" xr3:uid="{C6B9C6F0-4481-4486-BEAB-5D3EA3FB2C46}" name="77.Em uma escala de 1 a 5 quão disposto você estaria a testar um dispositivo IoT para monitoramento da mastite?" dataDxfId="13"/>
    <tableColumn id="2" xr3:uid="{022AF6B8-BD08-4335-961D-729145E806DF}" name="Quantidades de Suspeita de Mastite no Período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DF0C-6215-47C9-9845-2BBE7352885B}">
  <dimension ref="A1:G402"/>
  <sheetViews>
    <sheetView tabSelected="1" workbookViewId="0">
      <pane ySplit="1" topLeftCell="A2" activePane="bottomLeft" state="frozen"/>
      <selection activeCell="J22" sqref="J22"/>
      <selection pane="bottomLeft" activeCell="L17" sqref="L17"/>
    </sheetView>
  </sheetViews>
  <sheetFormatPr defaultRowHeight="14.5" x14ac:dyDescent="0.35"/>
  <cols>
    <col min="1" max="1" width="25" bestFit="1" customWidth="1"/>
    <col min="2" max="2" width="13.54296875" customWidth="1"/>
    <col min="3" max="3" width="22.26953125" customWidth="1"/>
    <col min="4" max="4" width="12.1796875" customWidth="1"/>
    <col min="5" max="5" width="24.1796875" customWidth="1"/>
    <col min="6" max="6" width="14.08984375" customWidth="1"/>
    <col min="7" max="7" width="15.81640625" customWidth="1"/>
  </cols>
  <sheetData>
    <row r="1" spans="1:7" x14ac:dyDescent="0.35">
      <c r="A1" s="21" t="s">
        <v>245</v>
      </c>
      <c r="B1" s="22" t="s">
        <v>246</v>
      </c>
      <c r="C1" s="22" t="s">
        <v>247</v>
      </c>
      <c r="D1" s="22" t="s">
        <v>248</v>
      </c>
      <c r="E1" s="22" t="s">
        <v>249</v>
      </c>
      <c r="F1" s="22" t="s">
        <v>250</v>
      </c>
      <c r="G1" s="23" t="s">
        <v>251</v>
      </c>
    </row>
    <row r="2" spans="1:7" x14ac:dyDescent="0.35">
      <c r="A2" s="24" t="s">
        <v>78</v>
      </c>
      <c r="B2" s="25">
        <v>45478</v>
      </c>
      <c r="C2" s="26">
        <v>19210</v>
      </c>
      <c r="D2" s="27">
        <v>3.89</v>
      </c>
      <c r="E2" s="27">
        <v>3.17</v>
      </c>
      <c r="F2" s="27">
        <v>171</v>
      </c>
      <c r="G2" s="28">
        <v>19</v>
      </c>
    </row>
    <row r="3" spans="1:7" x14ac:dyDescent="0.35">
      <c r="A3" s="24" t="s">
        <v>78</v>
      </c>
      <c r="B3" s="25">
        <v>45488</v>
      </c>
      <c r="C3" s="26">
        <v>19210</v>
      </c>
      <c r="D3" s="27">
        <v>3.7</v>
      </c>
      <c r="E3" s="27">
        <v>3.32</v>
      </c>
      <c r="F3" s="27">
        <v>116</v>
      </c>
      <c r="G3" s="28">
        <v>31</v>
      </c>
    </row>
    <row r="4" spans="1:7" x14ac:dyDescent="0.35">
      <c r="A4" s="24" t="s">
        <v>78</v>
      </c>
      <c r="B4" s="25">
        <v>45517</v>
      </c>
      <c r="C4" s="26">
        <v>18602</v>
      </c>
      <c r="D4" s="27">
        <v>3.75</v>
      </c>
      <c r="E4" s="27">
        <v>3.21</v>
      </c>
      <c r="F4" s="27">
        <v>122</v>
      </c>
      <c r="G4" s="28">
        <v>5</v>
      </c>
    </row>
    <row r="5" spans="1:7" x14ac:dyDescent="0.35">
      <c r="A5" s="24" t="s">
        <v>78</v>
      </c>
      <c r="B5" s="25">
        <v>45519</v>
      </c>
      <c r="C5" s="26">
        <v>18602</v>
      </c>
      <c r="D5" s="27">
        <v>3.9</v>
      </c>
      <c r="E5" s="27">
        <v>3.33</v>
      </c>
      <c r="F5" s="27">
        <v>194</v>
      </c>
      <c r="G5" s="28">
        <v>5</v>
      </c>
    </row>
    <row r="6" spans="1:7" x14ac:dyDescent="0.35">
      <c r="A6" s="24" t="s">
        <v>78</v>
      </c>
      <c r="B6" s="25">
        <v>45544</v>
      </c>
      <c r="C6" s="26">
        <v>18582</v>
      </c>
      <c r="D6" s="27">
        <v>3.93</v>
      </c>
      <c r="E6" s="27">
        <v>3.28</v>
      </c>
      <c r="F6" s="27">
        <v>97</v>
      </c>
      <c r="G6" s="28">
        <v>5</v>
      </c>
    </row>
    <row r="7" spans="1:7" x14ac:dyDescent="0.35">
      <c r="A7" s="24" t="s">
        <v>78</v>
      </c>
      <c r="B7" s="25">
        <v>45551</v>
      </c>
      <c r="C7" s="26">
        <v>18582</v>
      </c>
      <c r="D7" s="27">
        <v>3.99</v>
      </c>
      <c r="E7" s="27">
        <v>3.19</v>
      </c>
      <c r="F7" s="27">
        <v>119</v>
      </c>
      <c r="G7" s="28">
        <v>5</v>
      </c>
    </row>
    <row r="8" spans="1:7" x14ac:dyDescent="0.35">
      <c r="A8" s="24" t="s">
        <v>78</v>
      </c>
      <c r="B8" s="25">
        <v>45580</v>
      </c>
      <c r="C8" s="26">
        <v>18044</v>
      </c>
      <c r="D8" s="27">
        <v>4.0599999999999996</v>
      </c>
      <c r="E8" s="27">
        <v>3.22</v>
      </c>
      <c r="F8" s="27">
        <v>123</v>
      </c>
      <c r="G8" s="28">
        <v>5</v>
      </c>
    </row>
    <row r="9" spans="1:7" x14ac:dyDescent="0.35">
      <c r="A9" s="24" t="s">
        <v>78</v>
      </c>
      <c r="B9" s="25">
        <v>45587</v>
      </c>
      <c r="C9" s="26">
        <v>18044</v>
      </c>
      <c r="D9" s="27">
        <v>4.05</v>
      </c>
      <c r="E9" s="27">
        <v>3.24</v>
      </c>
      <c r="F9" s="27">
        <v>177</v>
      </c>
      <c r="G9" s="28">
        <v>13</v>
      </c>
    </row>
    <row r="10" spans="1:7" x14ac:dyDescent="0.35">
      <c r="A10" s="24" t="s">
        <v>78</v>
      </c>
      <c r="B10" s="25">
        <v>45608</v>
      </c>
      <c r="C10" s="26">
        <v>16299</v>
      </c>
      <c r="D10" s="27">
        <v>4.21</v>
      </c>
      <c r="E10" s="27">
        <v>3.27</v>
      </c>
      <c r="F10" s="27">
        <v>130</v>
      </c>
      <c r="G10" s="28">
        <v>44</v>
      </c>
    </row>
    <row r="11" spans="1:7" x14ac:dyDescent="0.35">
      <c r="A11" s="24" t="s">
        <v>78</v>
      </c>
      <c r="B11" s="25">
        <v>45614</v>
      </c>
      <c r="C11" s="26">
        <v>16299</v>
      </c>
      <c r="D11" s="27">
        <v>3.96</v>
      </c>
      <c r="E11" s="27">
        <v>3.28</v>
      </c>
      <c r="F11" s="27">
        <v>100</v>
      </c>
      <c r="G11" s="28">
        <v>5</v>
      </c>
    </row>
    <row r="12" spans="1:7" x14ac:dyDescent="0.35">
      <c r="A12" s="24" t="s">
        <v>78</v>
      </c>
      <c r="B12" s="25">
        <v>45637</v>
      </c>
      <c r="C12" s="26">
        <v>16032</v>
      </c>
      <c r="D12" s="27">
        <v>4.22</v>
      </c>
      <c r="E12" s="27">
        <v>3.12</v>
      </c>
      <c r="F12" s="27">
        <v>99</v>
      </c>
      <c r="G12" s="28">
        <v>5</v>
      </c>
    </row>
    <row r="13" spans="1:7" x14ac:dyDescent="0.35">
      <c r="A13" s="24" t="s">
        <v>78</v>
      </c>
      <c r="B13" s="25">
        <v>45638</v>
      </c>
      <c r="C13" s="26">
        <v>16032</v>
      </c>
      <c r="D13" s="27">
        <v>4.12</v>
      </c>
      <c r="E13" s="27">
        <v>3.27</v>
      </c>
      <c r="F13" s="27">
        <v>275</v>
      </c>
      <c r="G13" s="28">
        <v>5</v>
      </c>
    </row>
    <row r="14" spans="1:7" x14ac:dyDescent="0.35">
      <c r="A14" s="24" t="s">
        <v>78</v>
      </c>
      <c r="B14" s="25">
        <v>45674</v>
      </c>
      <c r="C14" s="26">
        <v>16839</v>
      </c>
      <c r="D14" s="27">
        <v>3.98</v>
      </c>
      <c r="E14" s="27">
        <v>3.25</v>
      </c>
      <c r="F14" s="27">
        <v>109</v>
      </c>
      <c r="G14" s="28">
        <v>5</v>
      </c>
    </row>
    <row r="15" spans="1:7" x14ac:dyDescent="0.35">
      <c r="A15" s="24" t="s">
        <v>78</v>
      </c>
      <c r="B15" s="25">
        <v>45681</v>
      </c>
      <c r="C15" s="26">
        <v>16839</v>
      </c>
      <c r="D15" s="27">
        <v>3.96</v>
      </c>
      <c r="E15" s="27">
        <v>3.29</v>
      </c>
      <c r="F15" s="27">
        <v>88</v>
      </c>
      <c r="G15" s="28">
        <v>5</v>
      </c>
    </row>
    <row r="16" spans="1:7" x14ac:dyDescent="0.35">
      <c r="A16" s="24" t="s">
        <v>78</v>
      </c>
      <c r="B16" s="25">
        <v>45698</v>
      </c>
      <c r="C16" s="26">
        <v>15366</v>
      </c>
      <c r="D16" s="27">
        <v>4.0999999999999996</v>
      </c>
      <c r="E16" s="27">
        <v>3.36</v>
      </c>
      <c r="F16" s="27">
        <v>205</v>
      </c>
      <c r="G16" s="28">
        <v>6</v>
      </c>
    </row>
    <row r="17" spans="1:7" x14ac:dyDescent="0.35">
      <c r="A17" s="24" t="s">
        <v>78</v>
      </c>
      <c r="B17" s="25">
        <v>45701</v>
      </c>
      <c r="C17" s="26">
        <v>15366</v>
      </c>
      <c r="D17" s="27">
        <v>4.04</v>
      </c>
      <c r="E17" s="27">
        <v>3.32</v>
      </c>
      <c r="F17" s="27">
        <v>182</v>
      </c>
      <c r="G17" s="28">
        <v>6</v>
      </c>
    </row>
    <row r="18" spans="1:7" x14ac:dyDescent="0.35">
      <c r="A18" s="24" t="s">
        <v>78</v>
      </c>
      <c r="B18" s="25">
        <v>45727</v>
      </c>
      <c r="C18" s="26">
        <v>15941</v>
      </c>
      <c r="D18" s="27">
        <v>3.85</v>
      </c>
      <c r="E18" s="27">
        <v>3.23</v>
      </c>
      <c r="F18" s="27">
        <v>170</v>
      </c>
      <c r="G18" s="28">
        <v>8</v>
      </c>
    </row>
    <row r="19" spans="1:7" x14ac:dyDescent="0.35">
      <c r="A19" s="24" t="s">
        <v>78</v>
      </c>
      <c r="B19" s="25">
        <v>45730</v>
      </c>
      <c r="C19" s="26">
        <v>15941</v>
      </c>
      <c r="D19" s="27">
        <v>4.09</v>
      </c>
      <c r="E19" s="27">
        <v>3.23</v>
      </c>
      <c r="F19" s="27">
        <v>215</v>
      </c>
      <c r="G19" s="28">
        <v>8</v>
      </c>
    </row>
    <row r="20" spans="1:7" x14ac:dyDescent="0.35">
      <c r="A20" s="24" t="s">
        <v>78</v>
      </c>
      <c r="B20" s="25">
        <v>45754</v>
      </c>
      <c r="C20" s="26">
        <v>15790</v>
      </c>
      <c r="D20" s="27">
        <v>3.87</v>
      </c>
      <c r="E20" s="27">
        <v>3.2</v>
      </c>
      <c r="F20" s="27">
        <v>116</v>
      </c>
      <c r="G20" s="28">
        <v>5</v>
      </c>
    </row>
    <row r="21" spans="1:7" x14ac:dyDescent="0.35">
      <c r="A21" s="24" t="s">
        <v>78</v>
      </c>
      <c r="B21" s="25">
        <v>45762</v>
      </c>
      <c r="C21" s="26">
        <v>15790</v>
      </c>
      <c r="D21" s="27">
        <v>4.0199999999999996</v>
      </c>
      <c r="E21" s="27">
        <v>3.33</v>
      </c>
      <c r="F21" s="27">
        <v>248</v>
      </c>
      <c r="G21" s="28">
        <v>6</v>
      </c>
    </row>
    <row r="22" spans="1:7" x14ac:dyDescent="0.35">
      <c r="A22" s="24" t="s">
        <v>116</v>
      </c>
      <c r="B22" s="25">
        <v>45478</v>
      </c>
      <c r="C22" s="26">
        <v>4221</v>
      </c>
      <c r="D22" s="27">
        <v>3.9</v>
      </c>
      <c r="E22" s="27">
        <v>3.07</v>
      </c>
      <c r="F22" s="27">
        <v>208</v>
      </c>
      <c r="G22" s="28">
        <v>35</v>
      </c>
    </row>
    <row r="23" spans="1:7" x14ac:dyDescent="0.35">
      <c r="A23" s="24" t="s">
        <v>116</v>
      </c>
      <c r="B23" s="25">
        <v>45488</v>
      </c>
      <c r="C23" s="26">
        <v>4221</v>
      </c>
      <c r="D23" s="27">
        <v>3.76</v>
      </c>
      <c r="E23" s="27">
        <v>3.03</v>
      </c>
      <c r="F23" s="27">
        <v>167</v>
      </c>
      <c r="G23" s="28">
        <v>31</v>
      </c>
    </row>
    <row r="24" spans="1:7" x14ac:dyDescent="0.35">
      <c r="A24" s="24" t="s">
        <v>116</v>
      </c>
      <c r="B24" s="25">
        <v>45517</v>
      </c>
      <c r="C24" s="26">
        <v>4156</v>
      </c>
      <c r="D24" s="27">
        <v>3.77</v>
      </c>
      <c r="E24" s="27">
        <v>2.98</v>
      </c>
      <c r="F24" s="27">
        <v>283</v>
      </c>
      <c r="G24" s="28">
        <v>32</v>
      </c>
    </row>
    <row r="25" spans="1:7" x14ac:dyDescent="0.35">
      <c r="A25" s="24" t="s">
        <v>116</v>
      </c>
      <c r="B25" s="25">
        <v>45519</v>
      </c>
      <c r="C25" s="26">
        <v>4156</v>
      </c>
      <c r="D25" s="27">
        <v>3.96</v>
      </c>
      <c r="E25" s="27">
        <v>3.07</v>
      </c>
      <c r="F25" s="27">
        <v>535</v>
      </c>
      <c r="G25" s="28">
        <v>38</v>
      </c>
    </row>
    <row r="26" spans="1:7" x14ac:dyDescent="0.35">
      <c r="A26" s="24" t="s">
        <v>116</v>
      </c>
      <c r="B26" s="25">
        <v>45544</v>
      </c>
      <c r="C26" s="26">
        <v>4712</v>
      </c>
      <c r="D26" s="27">
        <v>3.76</v>
      </c>
      <c r="E26" s="27">
        <v>3.32</v>
      </c>
      <c r="F26" s="26">
        <v>800</v>
      </c>
      <c r="G26" s="28">
        <v>21</v>
      </c>
    </row>
    <row r="27" spans="1:7" x14ac:dyDescent="0.35">
      <c r="A27" s="24" t="s">
        <v>116</v>
      </c>
      <c r="B27" s="25">
        <v>45551</v>
      </c>
      <c r="C27" s="26">
        <v>4712</v>
      </c>
      <c r="D27" s="27">
        <v>3.98</v>
      </c>
      <c r="E27" s="27">
        <v>3.26</v>
      </c>
      <c r="F27" s="27">
        <v>292</v>
      </c>
      <c r="G27" s="28">
        <v>10</v>
      </c>
    </row>
    <row r="28" spans="1:7" x14ac:dyDescent="0.35">
      <c r="A28" s="24" t="s">
        <v>116</v>
      </c>
      <c r="B28" s="25">
        <v>45580</v>
      </c>
      <c r="C28" s="26">
        <v>3334</v>
      </c>
      <c r="D28" s="27">
        <v>4.45</v>
      </c>
      <c r="E28" s="27">
        <v>3.1</v>
      </c>
      <c r="F28" s="27">
        <v>530</v>
      </c>
      <c r="G28" s="28">
        <v>65</v>
      </c>
    </row>
    <row r="29" spans="1:7" x14ac:dyDescent="0.35">
      <c r="A29" s="24" t="s">
        <v>116</v>
      </c>
      <c r="B29" s="25">
        <v>45587</v>
      </c>
      <c r="C29" s="26">
        <v>3334</v>
      </c>
      <c r="D29" s="27">
        <v>4.2</v>
      </c>
      <c r="E29" s="27">
        <v>3.21</v>
      </c>
      <c r="F29" s="27">
        <v>503</v>
      </c>
      <c r="G29" s="28">
        <v>92</v>
      </c>
    </row>
    <row r="30" spans="1:7" x14ac:dyDescent="0.35">
      <c r="A30" s="24" t="s">
        <v>116</v>
      </c>
      <c r="B30" s="25">
        <v>45608</v>
      </c>
      <c r="C30" s="26">
        <v>2725</v>
      </c>
      <c r="D30" s="27">
        <v>4.33</v>
      </c>
      <c r="E30" s="27">
        <v>3.21</v>
      </c>
      <c r="F30" s="27">
        <v>486</v>
      </c>
      <c r="G30" s="28">
        <v>42</v>
      </c>
    </row>
    <row r="31" spans="1:7" x14ac:dyDescent="0.35">
      <c r="A31" s="24" t="s">
        <v>116</v>
      </c>
      <c r="B31" s="25">
        <v>45614</v>
      </c>
      <c r="C31" s="26">
        <v>2725</v>
      </c>
      <c r="D31" s="27">
        <v>4.0199999999999996</v>
      </c>
      <c r="E31" s="27">
        <v>3.24</v>
      </c>
      <c r="F31" s="27">
        <v>620</v>
      </c>
      <c r="G31" s="28">
        <v>29</v>
      </c>
    </row>
    <row r="32" spans="1:7" x14ac:dyDescent="0.35">
      <c r="A32" s="24" t="s">
        <v>116</v>
      </c>
      <c r="B32" s="25">
        <v>45637</v>
      </c>
      <c r="C32" s="26">
        <v>2274</v>
      </c>
      <c r="D32" s="27">
        <v>4.2</v>
      </c>
      <c r="E32" s="27">
        <v>3.43</v>
      </c>
      <c r="F32" s="27">
        <v>346</v>
      </c>
      <c r="G32" s="28">
        <v>82</v>
      </c>
    </row>
    <row r="33" spans="1:7" x14ac:dyDescent="0.35">
      <c r="A33" s="24" t="s">
        <v>116</v>
      </c>
      <c r="B33" s="25">
        <v>45638</v>
      </c>
      <c r="C33" s="26">
        <v>2274</v>
      </c>
      <c r="D33" s="27">
        <v>4.55</v>
      </c>
      <c r="E33" s="27">
        <v>3.56</v>
      </c>
      <c r="F33" s="27">
        <v>614</v>
      </c>
      <c r="G33" s="28">
        <v>107</v>
      </c>
    </row>
    <row r="34" spans="1:7" x14ac:dyDescent="0.35">
      <c r="A34" s="24" t="s">
        <v>116</v>
      </c>
      <c r="B34" s="25">
        <v>45670</v>
      </c>
      <c r="C34" s="26">
        <v>1961</v>
      </c>
      <c r="D34" s="27">
        <v>4.33</v>
      </c>
      <c r="E34" s="27">
        <v>3.45</v>
      </c>
      <c r="F34" s="27">
        <v>471</v>
      </c>
      <c r="G34" s="28">
        <v>92</v>
      </c>
    </row>
    <row r="35" spans="1:7" x14ac:dyDescent="0.35">
      <c r="A35" s="24" t="s">
        <v>116</v>
      </c>
      <c r="B35" s="25">
        <v>45674</v>
      </c>
      <c r="C35" s="26">
        <v>1961</v>
      </c>
      <c r="D35" s="27">
        <v>4.45</v>
      </c>
      <c r="E35" s="27">
        <v>3.37</v>
      </c>
      <c r="F35" s="27">
        <v>327</v>
      </c>
      <c r="G35" s="28">
        <v>38</v>
      </c>
    </row>
    <row r="36" spans="1:7" x14ac:dyDescent="0.35">
      <c r="A36" s="24" t="s">
        <v>116</v>
      </c>
      <c r="B36" s="25">
        <v>45698</v>
      </c>
      <c r="C36" s="26">
        <v>2272</v>
      </c>
      <c r="D36" s="27">
        <v>4.07</v>
      </c>
      <c r="E36" s="27">
        <v>3.54</v>
      </c>
      <c r="F36" s="27">
        <v>369</v>
      </c>
      <c r="G36" s="28">
        <v>54</v>
      </c>
    </row>
    <row r="37" spans="1:7" x14ac:dyDescent="0.35">
      <c r="A37" s="24" t="s">
        <v>116</v>
      </c>
      <c r="B37" s="25">
        <v>45701</v>
      </c>
      <c r="C37" s="26">
        <v>2272</v>
      </c>
      <c r="D37" s="27">
        <v>4.21</v>
      </c>
      <c r="E37" s="27">
        <v>3.48</v>
      </c>
      <c r="F37" s="27">
        <v>421</v>
      </c>
      <c r="G37" s="28">
        <v>47</v>
      </c>
    </row>
    <row r="38" spans="1:7" x14ac:dyDescent="0.35">
      <c r="A38" s="24" t="s">
        <v>116</v>
      </c>
      <c r="B38" s="25">
        <v>45727</v>
      </c>
      <c r="C38" s="26">
        <v>2991</v>
      </c>
      <c r="D38" s="27">
        <v>3.93</v>
      </c>
      <c r="E38" s="27">
        <v>3.55</v>
      </c>
      <c r="F38" s="27">
        <v>323</v>
      </c>
      <c r="G38" s="28">
        <v>29</v>
      </c>
    </row>
    <row r="39" spans="1:7" x14ac:dyDescent="0.35">
      <c r="A39" s="24" t="s">
        <v>116</v>
      </c>
      <c r="B39" s="25">
        <v>45730</v>
      </c>
      <c r="C39" s="26">
        <v>2991</v>
      </c>
      <c r="D39" s="27">
        <v>4.1100000000000003</v>
      </c>
      <c r="E39" s="27">
        <v>3.43</v>
      </c>
      <c r="F39" s="27">
        <v>428</v>
      </c>
      <c r="G39" s="28">
        <v>49</v>
      </c>
    </row>
    <row r="40" spans="1:7" x14ac:dyDescent="0.35">
      <c r="A40" s="24" t="s">
        <v>116</v>
      </c>
      <c r="B40" s="25">
        <v>45754</v>
      </c>
      <c r="C40" s="26">
        <v>3551</v>
      </c>
      <c r="D40" s="27">
        <v>3.98</v>
      </c>
      <c r="E40" s="27">
        <v>3.3</v>
      </c>
      <c r="F40" s="27">
        <v>429</v>
      </c>
      <c r="G40" s="28">
        <v>65</v>
      </c>
    </row>
    <row r="41" spans="1:7" x14ac:dyDescent="0.35">
      <c r="A41" s="24" t="s">
        <v>116</v>
      </c>
      <c r="B41" s="25">
        <v>45762</v>
      </c>
      <c r="C41" s="26">
        <v>3551</v>
      </c>
      <c r="D41" s="27">
        <v>4.22</v>
      </c>
      <c r="E41" s="27">
        <v>3.37</v>
      </c>
      <c r="F41" s="27">
        <v>474</v>
      </c>
      <c r="G41" s="28">
        <v>16</v>
      </c>
    </row>
    <row r="42" spans="1:7" x14ac:dyDescent="0.35">
      <c r="A42" s="24" t="s">
        <v>131</v>
      </c>
      <c r="B42" s="25">
        <v>45478</v>
      </c>
      <c r="C42" s="26">
        <v>5469</v>
      </c>
      <c r="D42" s="27">
        <v>4.59</v>
      </c>
      <c r="E42" s="27">
        <v>3.63</v>
      </c>
      <c r="F42" s="27">
        <v>532</v>
      </c>
      <c r="G42" s="28">
        <v>8</v>
      </c>
    </row>
    <row r="43" spans="1:7" x14ac:dyDescent="0.35">
      <c r="A43" s="24" t="s">
        <v>131</v>
      </c>
      <c r="B43" s="25">
        <v>45488</v>
      </c>
      <c r="C43" s="26">
        <v>5469</v>
      </c>
      <c r="D43" s="27">
        <v>4.3899999999999997</v>
      </c>
      <c r="E43" s="27">
        <v>3.62</v>
      </c>
      <c r="F43" s="27">
        <v>736</v>
      </c>
      <c r="G43" s="28">
        <v>5</v>
      </c>
    </row>
    <row r="44" spans="1:7" x14ac:dyDescent="0.35">
      <c r="A44" s="24" t="s">
        <v>131</v>
      </c>
      <c r="B44" s="25">
        <v>45517</v>
      </c>
      <c r="C44" s="26">
        <v>4732</v>
      </c>
      <c r="D44" s="27">
        <v>4.1399999999999997</v>
      </c>
      <c r="E44" s="27">
        <v>3.42</v>
      </c>
      <c r="F44" s="26">
        <v>800</v>
      </c>
      <c r="G44" s="28">
        <v>13</v>
      </c>
    </row>
    <row r="45" spans="1:7" x14ac:dyDescent="0.35">
      <c r="A45" s="24" t="s">
        <v>131</v>
      </c>
      <c r="B45" s="25">
        <v>45519</v>
      </c>
      <c r="C45" s="26">
        <v>4732</v>
      </c>
      <c r="D45" s="27">
        <v>4.28</v>
      </c>
      <c r="E45" s="27">
        <v>3.53</v>
      </c>
      <c r="F45" s="27">
        <v>668</v>
      </c>
      <c r="G45" s="28">
        <v>5</v>
      </c>
    </row>
    <row r="46" spans="1:7" x14ac:dyDescent="0.35">
      <c r="A46" s="24" t="s">
        <v>131</v>
      </c>
      <c r="B46" s="25">
        <v>45544</v>
      </c>
      <c r="C46" s="26">
        <v>6050</v>
      </c>
      <c r="D46" s="27">
        <v>4</v>
      </c>
      <c r="E46" s="27">
        <v>3.51</v>
      </c>
      <c r="F46" s="27">
        <v>572</v>
      </c>
      <c r="G46" s="28">
        <v>9</v>
      </c>
    </row>
    <row r="47" spans="1:7" x14ac:dyDescent="0.35">
      <c r="A47" s="24" t="s">
        <v>131</v>
      </c>
      <c r="B47" s="25">
        <v>45551</v>
      </c>
      <c r="C47" s="26">
        <v>6050</v>
      </c>
      <c r="D47" s="27">
        <v>3.95</v>
      </c>
      <c r="E47" s="27">
        <v>3.39</v>
      </c>
      <c r="F47" s="27">
        <v>649</v>
      </c>
      <c r="G47" s="28">
        <v>7</v>
      </c>
    </row>
    <row r="48" spans="1:7" x14ac:dyDescent="0.35">
      <c r="A48" s="24" t="s">
        <v>131</v>
      </c>
      <c r="B48" s="25">
        <v>45580</v>
      </c>
      <c r="C48" s="26">
        <v>7325</v>
      </c>
      <c r="D48" s="27">
        <v>3.74</v>
      </c>
      <c r="E48" s="27">
        <v>3.23</v>
      </c>
      <c r="F48" s="27">
        <v>747</v>
      </c>
      <c r="G48" s="28">
        <v>13</v>
      </c>
    </row>
    <row r="49" spans="1:7" x14ac:dyDescent="0.35">
      <c r="A49" s="24" t="s">
        <v>131</v>
      </c>
      <c r="B49" s="25">
        <v>45587</v>
      </c>
      <c r="C49" s="26">
        <v>7325</v>
      </c>
      <c r="D49" s="27">
        <v>3.48</v>
      </c>
      <c r="E49" s="27">
        <v>3.13</v>
      </c>
      <c r="F49" s="27">
        <v>334</v>
      </c>
      <c r="G49" s="28">
        <v>9</v>
      </c>
    </row>
    <row r="50" spans="1:7" x14ac:dyDescent="0.35">
      <c r="A50" s="24" t="s">
        <v>131</v>
      </c>
      <c r="B50" s="25">
        <v>45608</v>
      </c>
      <c r="C50" s="26">
        <v>7888</v>
      </c>
      <c r="D50" s="27">
        <v>3.53</v>
      </c>
      <c r="E50" s="27">
        <v>3.22</v>
      </c>
      <c r="F50" s="27">
        <v>523</v>
      </c>
      <c r="G50" s="28">
        <v>5</v>
      </c>
    </row>
    <row r="51" spans="1:7" x14ac:dyDescent="0.35">
      <c r="A51" s="24" t="s">
        <v>131</v>
      </c>
      <c r="B51" s="25">
        <v>45614</v>
      </c>
      <c r="C51" s="26">
        <v>7888</v>
      </c>
      <c r="D51" s="27">
        <v>3.71</v>
      </c>
      <c r="E51" s="27">
        <v>3.18</v>
      </c>
      <c r="F51" s="27">
        <v>480</v>
      </c>
      <c r="G51" s="28">
        <v>5</v>
      </c>
    </row>
    <row r="52" spans="1:7" x14ac:dyDescent="0.35">
      <c r="A52" s="24" t="s">
        <v>131</v>
      </c>
      <c r="B52" s="25">
        <v>45637</v>
      </c>
      <c r="C52" s="26">
        <v>9578</v>
      </c>
      <c r="D52" s="27">
        <v>3.65</v>
      </c>
      <c r="E52" s="27">
        <v>3.37</v>
      </c>
      <c r="F52" s="27">
        <v>326</v>
      </c>
      <c r="G52" s="28">
        <v>5</v>
      </c>
    </row>
    <row r="53" spans="1:7" x14ac:dyDescent="0.35">
      <c r="A53" s="24" t="s">
        <v>131</v>
      </c>
      <c r="B53" s="25">
        <v>45638</v>
      </c>
      <c r="C53" s="26">
        <v>9578</v>
      </c>
      <c r="D53" s="27">
        <v>3.93</v>
      </c>
      <c r="E53" s="27">
        <v>3.44</v>
      </c>
      <c r="F53" s="27">
        <v>455</v>
      </c>
      <c r="G53" s="28">
        <v>5</v>
      </c>
    </row>
    <row r="54" spans="1:7" x14ac:dyDescent="0.35">
      <c r="A54" s="24" t="s">
        <v>131</v>
      </c>
      <c r="B54" s="25">
        <v>45670</v>
      </c>
      <c r="C54" s="26">
        <v>9459</v>
      </c>
      <c r="D54" s="27">
        <v>3.81</v>
      </c>
      <c r="E54" s="27">
        <v>3.44</v>
      </c>
      <c r="F54" s="27">
        <v>391</v>
      </c>
      <c r="G54" s="28">
        <v>5</v>
      </c>
    </row>
    <row r="55" spans="1:7" x14ac:dyDescent="0.35">
      <c r="A55" s="24" t="s">
        <v>131</v>
      </c>
      <c r="B55" s="25">
        <v>45674</v>
      </c>
      <c r="C55" s="26">
        <v>9459</v>
      </c>
      <c r="D55" s="27">
        <v>3.93</v>
      </c>
      <c r="E55" s="27">
        <v>3.42</v>
      </c>
      <c r="F55" s="27">
        <v>267</v>
      </c>
      <c r="G55" s="28">
        <v>5</v>
      </c>
    </row>
    <row r="56" spans="1:7" x14ac:dyDescent="0.35">
      <c r="A56" s="24" t="s">
        <v>131</v>
      </c>
      <c r="B56" s="25">
        <v>45698</v>
      </c>
      <c r="C56" s="26">
        <v>7536</v>
      </c>
      <c r="D56" s="27">
        <v>4.0999999999999996</v>
      </c>
      <c r="E56" s="27">
        <v>3.6</v>
      </c>
      <c r="F56" s="27">
        <v>331</v>
      </c>
      <c r="G56" s="28">
        <v>5</v>
      </c>
    </row>
    <row r="57" spans="1:7" x14ac:dyDescent="0.35">
      <c r="A57" s="24" t="s">
        <v>131</v>
      </c>
      <c r="B57" s="25">
        <v>45701</v>
      </c>
      <c r="C57" s="26">
        <v>7536</v>
      </c>
      <c r="D57" s="27">
        <v>4.17</v>
      </c>
      <c r="E57" s="27">
        <v>3.55</v>
      </c>
      <c r="F57" s="27">
        <v>371</v>
      </c>
      <c r="G57" s="28">
        <v>6</v>
      </c>
    </row>
    <row r="58" spans="1:7" x14ac:dyDescent="0.35">
      <c r="A58" s="24" t="s">
        <v>131</v>
      </c>
      <c r="B58" s="25">
        <v>45727</v>
      </c>
      <c r="C58" s="26">
        <v>8370</v>
      </c>
      <c r="D58" s="27">
        <v>4.25</v>
      </c>
      <c r="E58" s="27">
        <v>3.59</v>
      </c>
      <c r="F58" s="27">
        <v>326</v>
      </c>
      <c r="G58" s="28">
        <v>5</v>
      </c>
    </row>
    <row r="59" spans="1:7" x14ac:dyDescent="0.35">
      <c r="A59" s="24" t="s">
        <v>131</v>
      </c>
      <c r="B59" s="25">
        <v>45730</v>
      </c>
      <c r="C59" s="26">
        <v>8370</v>
      </c>
      <c r="D59" s="27">
        <v>4.43</v>
      </c>
      <c r="E59" s="27">
        <v>3.55</v>
      </c>
      <c r="F59" s="27">
        <v>530</v>
      </c>
      <c r="G59" s="28">
        <v>6</v>
      </c>
    </row>
    <row r="60" spans="1:7" x14ac:dyDescent="0.35">
      <c r="A60" s="24" t="s">
        <v>131</v>
      </c>
      <c r="B60" s="25">
        <v>45754</v>
      </c>
      <c r="C60" s="26">
        <v>8450</v>
      </c>
      <c r="D60" s="27">
        <v>4.22</v>
      </c>
      <c r="E60" s="27">
        <v>3.58</v>
      </c>
      <c r="F60" s="27">
        <v>238</v>
      </c>
      <c r="G60" s="28">
        <v>5</v>
      </c>
    </row>
    <row r="61" spans="1:7" x14ac:dyDescent="0.35">
      <c r="A61" s="24" t="s">
        <v>131</v>
      </c>
      <c r="B61" s="25">
        <v>45762</v>
      </c>
      <c r="C61" s="26">
        <v>8450</v>
      </c>
      <c r="D61" s="27">
        <v>4.4000000000000004</v>
      </c>
      <c r="E61" s="27">
        <v>3.66</v>
      </c>
      <c r="F61" s="27">
        <v>422</v>
      </c>
      <c r="G61" s="28">
        <v>5</v>
      </c>
    </row>
    <row r="62" spans="1:7" x14ac:dyDescent="0.35">
      <c r="A62" s="24" t="s">
        <v>139</v>
      </c>
      <c r="B62" s="25">
        <v>45478</v>
      </c>
      <c r="C62" s="26">
        <v>7888</v>
      </c>
      <c r="D62" s="27">
        <v>3.79</v>
      </c>
      <c r="E62" s="27">
        <v>3.39</v>
      </c>
      <c r="F62" s="27">
        <v>139</v>
      </c>
      <c r="G62" s="28">
        <v>20</v>
      </c>
    </row>
    <row r="63" spans="1:7" x14ac:dyDescent="0.35">
      <c r="A63" s="24" t="s">
        <v>139</v>
      </c>
      <c r="B63" s="25">
        <v>45488</v>
      </c>
      <c r="C63" s="26">
        <v>7888</v>
      </c>
      <c r="D63" s="27">
        <v>3.96</v>
      </c>
      <c r="E63" s="27">
        <v>3.19</v>
      </c>
      <c r="F63" s="27">
        <v>205</v>
      </c>
      <c r="G63" s="28">
        <v>17</v>
      </c>
    </row>
    <row r="64" spans="1:7" x14ac:dyDescent="0.35">
      <c r="A64" s="24" t="s">
        <v>139</v>
      </c>
      <c r="B64" s="25">
        <v>45517</v>
      </c>
      <c r="C64" s="26">
        <v>9770</v>
      </c>
      <c r="D64" s="27">
        <v>3.98</v>
      </c>
      <c r="E64" s="27">
        <v>3.29</v>
      </c>
      <c r="F64" s="27">
        <v>120</v>
      </c>
      <c r="G64" s="28">
        <v>18</v>
      </c>
    </row>
    <row r="65" spans="1:7" x14ac:dyDescent="0.35">
      <c r="A65" s="24" t="s">
        <v>139</v>
      </c>
      <c r="B65" s="25">
        <v>45519</v>
      </c>
      <c r="C65" s="26">
        <v>9770</v>
      </c>
      <c r="D65" s="27">
        <v>4.03</v>
      </c>
      <c r="E65" s="27">
        <v>3.24</v>
      </c>
      <c r="F65" s="27">
        <v>118</v>
      </c>
      <c r="G65" s="28">
        <v>14</v>
      </c>
    </row>
    <row r="66" spans="1:7" x14ac:dyDescent="0.35">
      <c r="A66" s="24" t="s">
        <v>139</v>
      </c>
      <c r="B66" s="25">
        <v>45544</v>
      </c>
      <c r="C66" s="26">
        <v>11140</v>
      </c>
      <c r="D66" s="27">
        <v>3.9</v>
      </c>
      <c r="E66" s="27">
        <v>2.99</v>
      </c>
      <c r="F66" s="27">
        <v>96</v>
      </c>
      <c r="G66" s="28">
        <v>10</v>
      </c>
    </row>
    <row r="67" spans="1:7" x14ac:dyDescent="0.35">
      <c r="A67" s="24" t="s">
        <v>139</v>
      </c>
      <c r="B67" s="25">
        <v>45551</v>
      </c>
      <c r="C67" s="26">
        <v>11140</v>
      </c>
      <c r="D67" s="27">
        <v>3.62</v>
      </c>
      <c r="E67" s="27">
        <v>2.98</v>
      </c>
      <c r="F67" s="27">
        <v>172</v>
      </c>
      <c r="G67" s="28">
        <v>5</v>
      </c>
    </row>
    <row r="68" spans="1:7" x14ac:dyDescent="0.35">
      <c r="A68" s="24" t="s">
        <v>139</v>
      </c>
      <c r="B68" s="25">
        <v>45580</v>
      </c>
      <c r="C68" s="26">
        <v>11691</v>
      </c>
      <c r="D68" s="27">
        <v>3.61</v>
      </c>
      <c r="E68" s="27">
        <v>2.91</v>
      </c>
      <c r="F68" s="27">
        <v>233</v>
      </c>
      <c r="G68" s="28">
        <v>8</v>
      </c>
    </row>
    <row r="69" spans="1:7" x14ac:dyDescent="0.35">
      <c r="A69" s="24" t="s">
        <v>139</v>
      </c>
      <c r="B69" s="25">
        <v>45587</v>
      </c>
      <c r="C69" s="26">
        <v>11691</v>
      </c>
      <c r="D69" s="27">
        <v>3.6</v>
      </c>
      <c r="E69" s="27">
        <v>2.94</v>
      </c>
      <c r="F69" s="27">
        <v>132</v>
      </c>
      <c r="G69" s="28">
        <v>12</v>
      </c>
    </row>
    <row r="70" spans="1:7" x14ac:dyDescent="0.35">
      <c r="A70" s="24" t="s">
        <v>139</v>
      </c>
      <c r="B70" s="25">
        <v>45608</v>
      </c>
      <c r="C70" s="26">
        <v>11594</v>
      </c>
      <c r="D70" s="27">
        <v>3.59</v>
      </c>
      <c r="E70" s="27">
        <v>3.01</v>
      </c>
      <c r="F70" s="27">
        <v>175</v>
      </c>
      <c r="G70" s="28">
        <v>15</v>
      </c>
    </row>
    <row r="71" spans="1:7" x14ac:dyDescent="0.35">
      <c r="A71" s="24" t="s">
        <v>139</v>
      </c>
      <c r="B71" s="25">
        <v>45614</v>
      </c>
      <c r="C71" s="26">
        <v>11594</v>
      </c>
      <c r="D71" s="27">
        <v>3.63</v>
      </c>
      <c r="E71" s="27">
        <v>3.04</v>
      </c>
      <c r="F71" s="27">
        <v>93</v>
      </c>
      <c r="G71" s="28">
        <v>10</v>
      </c>
    </row>
    <row r="72" spans="1:7" x14ac:dyDescent="0.35">
      <c r="A72" s="24" t="s">
        <v>139</v>
      </c>
      <c r="B72" s="25">
        <v>45637</v>
      </c>
      <c r="C72" s="26">
        <v>11263</v>
      </c>
      <c r="D72" s="27">
        <v>3.68</v>
      </c>
      <c r="E72" s="27">
        <v>3</v>
      </c>
      <c r="F72" s="27">
        <v>133</v>
      </c>
      <c r="G72" s="28">
        <v>8</v>
      </c>
    </row>
    <row r="73" spans="1:7" x14ac:dyDescent="0.35">
      <c r="A73" s="24" t="s">
        <v>139</v>
      </c>
      <c r="B73" s="25">
        <v>45638</v>
      </c>
      <c r="C73" s="26">
        <v>11263</v>
      </c>
      <c r="D73" s="27">
        <v>3.62</v>
      </c>
      <c r="E73" s="27">
        <v>3.16</v>
      </c>
      <c r="F73" s="27">
        <v>135</v>
      </c>
      <c r="G73" s="28">
        <v>29</v>
      </c>
    </row>
    <row r="74" spans="1:7" x14ac:dyDescent="0.35">
      <c r="A74" s="24" t="s">
        <v>139</v>
      </c>
      <c r="B74" s="25">
        <v>45670</v>
      </c>
      <c r="C74" s="26">
        <v>11176</v>
      </c>
      <c r="D74" s="27">
        <v>3.63</v>
      </c>
      <c r="E74" s="27">
        <v>2.96</v>
      </c>
      <c r="F74" s="27">
        <v>185</v>
      </c>
      <c r="G74" s="28">
        <v>10</v>
      </c>
    </row>
    <row r="75" spans="1:7" x14ac:dyDescent="0.35">
      <c r="A75" s="24" t="s">
        <v>139</v>
      </c>
      <c r="B75" s="25">
        <v>45680</v>
      </c>
      <c r="C75" s="26">
        <v>11176</v>
      </c>
      <c r="D75" s="27">
        <v>3.72</v>
      </c>
      <c r="E75" s="27">
        <v>3</v>
      </c>
      <c r="F75" s="27">
        <v>236</v>
      </c>
      <c r="G75" s="28">
        <v>12</v>
      </c>
    </row>
    <row r="76" spans="1:7" x14ac:dyDescent="0.35">
      <c r="A76" s="24" t="s">
        <v>139</v>
      </c>
      <c r="B76" s="25">
        <v>45698</v>
      </c>
      <c r="C76" s="26">
        <v>8692</v>
      </c>
      <c r="D76" s="27">
        <v>3.68</v>
      </c>
      <c r="E76" s="27">
        <v>3.15</v>
      </c>
      <c r="F76" s="27">
        <v>142</v>
      </c>
      <c r="G76" s="28">
        <v>15</v>
      </c>
    </row>
    <row r="77" spans="1:7" x14ac:dyDescent="0.35">
      <c r="A77" s="24" t="s">
        <v>139</v>
      </c>
      <c r="B77" s="25">
        <v>45701</v>
      </c>
      <c r="C77" s="26">
        <v>8692</v>
      </c>
      <c r="D77" s="27">
        <v>3.77</v>
      </c>
      <c r="E77" s="27">
        <v>3.13</v>
      </c>
      <c r="F77" s="27">
        <v>146</v>
      </c>
      <c r="G77" s="28">
        <v>11</v>
      </c>
    </row>
    <row r="78" spans="1:7" x14ac:dyDescent="0.35">
      <c r="A78" s="24" t="s">
        <v>139</v>
      </c>
      <c r="B78" s="25">
        <v>45727</v>
      </c>
      <c r="C78" s="26">
        <v>8709</v>
      </c>
      <c r="D78" s="27">
        <v>3.93</v>
      </c>
      <c r="E78" s="27">
        <v>3.34</v>
      </c>
      <c r="F78" s="27">
        <v>319</v>
      </c>
      <c r="G78" s="28">
        <v>20</v>
      </c>
    </row>
    <row r="79" spans="1:7" x14ac:dyDescent="0.35">
      <c r="A79" s="24" t="s">
        <v>139</v>
      </c>
      <c r="B79" s="25">
        <v>45730</v>
      </c>
      <c r="C79" s="26">
        <v>8709</v>
      </c>
      <c r="D79" s="27">
        <v>3.87</v>
      </c>
      <c r="E79" s="27">
        <v>3.2</v>
      </c>
      <c r="F79" s="27">
        <v>205</v>
      </c>
      <c r="G79" s="28">
        <v>14</v>
      </c>
    </row>
    <row r="80" spans="1:7" x14ac:dyDescent="0.35">
      <c r="A80" s="24" t="s">
        <v>139</v>
      </c>
      <c r="B80" s="25">
        <v>45758</v>
      </c>
      <c r="C80" s="26">
        <v>9477</v>
      </c>
      <c r="D80" s="27">
        <v>3.9</v>
      </c>
      <c r="E80" s="27">
        <v>3.45</v>
      </c>
      <c r="F80" s="27">
        <v>137</v>
      </c>
      <c r="G80" s="28">
        <v>6</v>
      </c>
    </row>
    <row r="81" spans="1:7" x14ac:dyDescent="0.35">
      <c r="A81" s="24" t="s">
        <v>139</v>
      </c>
      <c r="B81" s="25">
        <v>45772</v>
      </c>
      <c r="C81" s="26">
        <v>9477</v>
      </c>
      <c r="D81" s="27">
        <v>3.96</v>
      </c>
      <c r="E81" s="27">
        <v>3.31</v>
      </c>
      <c r="F81" s="27">
        <v>82</v>
      </c>
      <c r="G81" s="28">
        <v>10</v>
      </c>
    </row>
    <row r="82" spans="1:7" x14ac:dyDescent="0.35">
      <c r="A82" s="24" t="s">
        <v>147</v>
      </c>
      <c r="B82" s="25">
        <v>45478</v>
      </c>
      <c r="C82" s="26">
        <v>11295</v>
      </c>
      <c r="D82" s="27">
        <v>3.98</v>
      </c>
      <c r="E82" s="27">
        <v>3.28</v>
      </c>
      <c r="F82" s="27">
        <v>319</v>
      </c>
      <c r="G82" s="28">
        <v>18</v>
      </c>
    </row>
    <row r="83" spans="1:7" x14ac:dyDescent="0.35">
      <c r="A83" s="24" t="s">
        <v>147</v>
      </c>
      <c r="B83" s="25">
        <v>45488</v>
      </c>
      <c r="C83" s="26">
        <v>11295</v>
      </c>
      <c r="D83" s="27">
        <v>3.97</v>
      </c>
      <c r="E83" s="27">
        <v>3.27</v>
      </c>
      <c r="F83" s="27">
        <v>402</v>
      </c>
      <c r="G83" s="28">
        <v>9</v>
      </c>
    </row>
    <row r="84" spans="1:7" x14ac:dyDescent="0.35">
      <c r="A84" s="24" t="s">
        <v>147</v>
      </c>
      <c r="B84" s="25">
        <v>45517</v>
      </c>
      <c r="C84" s="26">
        <v>11370</v>
      </c>
      <c r="D84" s="27">
        <v>3.83</v>
      </c>
      <c r="E84" s="27">
        <v>3.31</v>
      </c>
      <c r="F84" s="27">
        <v>713</v>
      </c>
      <c r="G84" s="28">
        <v>16</v>
      </c>
    </row>
    <row r="85" spans="1:7" x14ac:dyDescent="0.35">
      <c r="A85" s="24" t="s">
        <v>147</v>
      </c>
      <c r="B85" s="25">
        <v>45519</v>
      </c>
      <c r="C85" s="26">
        <v>11370</v>
      </c>
      <c r="D85" s="27">
        <v>3.98</v>
      </c>
      <c r="E85" s="27">
        <v>3.36</v>
      </c>
      <c r="F85" s="27">
        <v>575</v>
      </c>
      <c r="G85" s="28">
        <v>8</v>
      </c>
    </row>
    <row r="86" spans="1:7" x14ac:dyDescent="0.35">
      <c r="A86" s="24" t="s">
        <v>147</v>
      </c>
      <c r="B86" s="25">
        <v>45544</v>
      </c>
      <c r="C86" s="26">
        <v>11300</v>
      </c>
      <c r="D86" s="27">
        <v>3.92</v>
      </c>
      <c r="E86" s="27">
        <v>3.35</v>
      </c>
      <c r="F86" s="27">
        <v>471</v>
      </c>
      <c r="G86" s="28">
        <v>6</v>
      </c>
    </row>
    <row r="87" spans="1:7" x14ac:dyDescent="0.35">
      <c r="A87" s="24" t="s">
        <v>147</v>
      </c>
      <c r="B87" s="25">
        <v>45551</v>
      </c>
      <c r="C87" s="26">
        <v>11300</v>
      </c>
      <c r="D87" s="27">
        <v>3.78</v>
      </c>
      <c r="E87" s="27">
        <v>3.29</v>
      </c>
      <c r="F87" s="27">
        <v>384</v>
      </c>
      <c r="G87" s="28">
        <v>13</v>
      </c>
    </row>
    <row r="88" spans="1:7" x14ac:dyDescent="0.35">
      <c r="A88" s="24" t="s">
        <v>147</v>
      </c>
      <c r="B88" s="25">
        <v>45580</v>
      </c>
      <c r="C88" s="26">
        <v>10462</v>
      </c>
      <c r="D88" s="27">
        <v>3.67</v>
      </c>
      <c r="E88" s="27">
        <v>3.36</v>
      </c>
      <c r="F88" s="27">
        <v>459</v>
      </c>
      <c r="G88" s="28">
        <v>6</v>
      </c>
    </row>
    <row r="89" spans="1:7" x14ac:dyDescent="0.35">
      <c r="A89" s="24" t="s">
        <v>147</v>
      </c>
      <c r="B89" s="25">
        <v>45587</v>
      </c>
      <c r="C89" s="26">
        <v>10462</v>
      </c>
      <c r="D89" s="27">
        <v>3.8</v>
      </c>
      <c r="E89" s="27">
        <v>3.3</v>
      </c>
      <c r="F89" s="27">
        <v>335</v>
      </c>
      <c r="G89" s="28">
        <v>6</v>
      </c>
    </row>
    <row r="90" spans="1:7" x14ac:dyDescent="0.35">
      <c r="A90" s="24" t="s">
        <v>147</v>
      </c>
      <c r="B90" s="25">
        <v>45608</v>
      </c>
      <c r="C90" s="26">
        <v>8546</v>
      </c>
      <c r="D90" s="27">
        <v>3.88</v>
      </c>
      <c r="E90" s="27">
        <v>3.35</v>
      </c>
      <c r="F90" s="27">
        <v>598</v>
      </c>
      <c r="G90" s="28">
        <v>12</v>
      </c>
    </row>
    <row r="91" spans="1:7" x14ac:dyDescent="0.35">
      <c r="A91" s="24" t="s">
        <v>147</v>
      </c>
      <c r="B91" s="25">
        <v>45614</v>
      </c>
      <c r="C91" s="26">
        <v>8546</v>
      </c>
      <c r="D91" s="27">
        <v>3.85</v>
      </c>
      <c r="E91" s="27">
        <v>3.32</v>
      </c>
      <c r="F91" s="27">
        <v>285</v>
      </c>
      <c r="G91" s="28">
        <v>8</v>
      </c>
    </row>
    <row r="92" spans="1:7" x14ac:dyDescent="0.35">
      <c r="A92" s="24" t="s">
        <v>147</v>
      </c>
      <c r="B92" s="25">
        <v>45638</v>
      </c>
      <c r="C92" s="26">
        <v>9157</v>
      </c>
      <c r="D92" s="27">
        <v>3.77</v>
      </c>
      <c r="E92" s="27">
        <v>3.37</v>
      </c>
      <c r="F92" s="27">
        <v>302</v>
      </c>
      <c r="G92" s="28">
        <v>22</v>
      </c>
    </row>
    <row r="93" spans="1:7" x14ac:dyDescent="0.35">
      <c r="A93" s="24" t="s">
        <v>147</v>
      </c>
      <c r="B93" s="25">
        <v>45652</v>
      </c>
      <c r="C93" s="26">
        <v>9157</v>
      </c>
      <c r="D93" s="27">
        <v>3.81</v>
      </c>
      <c r="E93" s="27">
        <v>3.35</v>
      </c>
      <c r="F93" s="27">
        <v>486</v>
      </c>
      <c r="G93" s="28">
        <v>15</v>
      </c>
    </row>
    <row r="94" spans="1:7" x14ac:dyDescent="0.35">
      <c r="A94" s="24" t="s">
        <v>147</v>
      </c>
      <c r="B94" s="25">
        <v>45670</v>
      </c>
      <c r="C94" s="26">
        <v>9516</v>
      </c>
      <c r="D94" s="27">
        <v>3.84</v>
      </c>
      <c r="E94" s="27">
        <v>3.25</v>
      </c>
      <c r="F94" s="27">
        <v>269</v>
      </c>
      <c r="G94" s="28">
        <v>9</v>
      </c>
    </row>
    <row r="95" spans="1:7" x14ac:dyDescent="0.35">
      <c r="A95" s="24" t="s">
        <v>147</v>
      </c>
      <c r="B95" s="25">
        <v>45674</v>
      </c>
      <c r="C95" s="26">
        <v>9516</v>
      </c>
      <c r="D95" s="27">
        <v>3.72</v>
      </c>
      <c r="E95" s="27">
        <v>3.25</v>
      </c>
      <c r="F95" s="27">
        <v>208</v>
      </c>
      <c r="G95" s="28">
        <v>8</v>
      </c>
    </row>
    <row r="96" spans="1:7" x14ac:dyDescent="0.35">
      <c r="A96" s="24" t="s">
        <v>147</v>
      </c>
      <c r="B96" s="25">
        <v>45698</v>
      </c>
      <c r="C96" s="26">
        <v>8228</v>
      </c>
      <c r="D96" s="27">
        <v>3.67</v>
      </c>
      <c r="E96" s="27">
        <v>3.29</v>
      </c>
      <c r="F96" s="27">
        <v>256</v>
      </c>
      <c r="G96" s="28">
        <v>15</v>
      </c>
    </row>
    <row r="97" spans="1:7" x14ac:dyDescent="0.35">
      <c r="A97" s="24" t="s">
        <v>147</v>
      </c>
      <c r="B97" s="25">
        <v>45701</v>
      </c>
      <c r="C97" s="26">
        <v>8228</v>
      </c>
      <c r="D97" s="27">
        <v>3.64</v>
      </c>
      <c r="E97" s="27">
        <v>3.21</v>
      </c>
      <c r="F97" s="27">
        <v>231</v>
      </c>
      <c r="G97" s="28">
        <v>7</v>
      </c>
    </row>
    <row r="98" spans="1:7" x14ac:dyDescent="0.35">
      <c r="A98" s="24" t="s">
        <v>147</v>
      </c>
      <c r="B98" s="25">
        <v>45727</v>
      </c>
      <c r="C98" s="26">
        <v>8525</v>
      </c>
      <c r="D98" s="27">
        <v>3.7</v>
      </c>
      <c r="E98" s="27">
        <v>3.22</v>
      </c>
      <c r="F98" s="27">
        <v>405</v>
      </c>
      <c r="G98" s="28">
        <v>10</v>
      </c>
    </row>
    <row r="99" spans="1:7" x14ac:dyDescent="0.35">
      <c r="A99" s="24" t="s">
        <v>147</v>
      </c>
      <c r="B99" s="25">
        <v>45730</v>
      </c>
      <c r="C99" s="26">
        <v>8525</v>
      </c>
      <c r="D99" s="27">
        <v>3.73</v>
      </c>
      <c r="E99" s="27">
        <v>3.07</v>
      </c>
      <c r="F99" s="27">
        <v>321</v>
      </c>
      <c r="G99" s="28">
        <v>13</v>
      </c>
    </row>
    <row r="100" spans="1:7" x14ac:dyDescent="0.35">
      <c r="A100" s="24" t="s">
        <v>147</v>
      </c>
      <c r="B100" s="25">
        <v>45754</v>
      </c>
      <c r="C100" s="26">
        <v>9153</v>
      </c>
      <c r="D100" s="27">
        <v>3.64</v>
      </c>
      <c r="E100" s="27">
        <v>3.15</v>
      </c>
      <c r="F100" s="27">
        <v>422</v>
      </c>
      <c r="G100" s="28">
        <v>30</v>
      </c>
    </row>
    <row r="101" spans="1:7" x14ac:dyDescent="0.35">
      <c r="A101" s="24" t="s">
        <v>147</v>
      </c>
      <c r="B101" s="25">
        <v>45762</v>
      </c>
      <c r="C101" s="26">
        <v>9153</v>
      </c>
      <c r="D101" s="27">
        <v>3.57</v>
      </c>
      <c r="E101" s="27">
        <v>3.26</v>
      </c>
      <c r="F101" s="27">
        <v>642</v>
      </c>
      <c r="G101" s="28">
        <v>142</v>
      </c>
    </row>
    <row r="102" spans="1:7" x14ac:dyDescent="0.35">
      <c r="A102" s="24" t="s">
        <v>156</v>
      </c>
      <c r="B102" s="25">
        <v>45478</v>
      </c>
      <c r="C102" s="26">
        <v>39607</v>
      </c>
      <c r="D102" s="27">
        <v>4.04</v>
      </c>
      <c r="E102" s="27">
        <v>3.41</v>
      </c>
      <c r="F102" s="27">
        <v>332</v>
      </c>
      <c r="G102" s="28">
        <v>12</v>
      </c>
    </row>
    <row r="103" spans="1:7" x14ac:dyDescent="0.35">
      <c r="A103" s="24" t="s">
        <v>156</v>
      </c>
      <c r="B103" s="25">
        <v>45488</v>
      </c>
      <c r="C103" s="26">
        <v>39607</v>
      </c>
      <c r="D103" s="27">
        <v>4.07</v>
      </c>
      <c r="E103" s="27">
        <v>3.43</v>
      </c>
      <c r="F103" s="27">
        <v>361</v>
      </c>
      <c r="G103" s="28">
        <v>16</v>
      </c>
    </row>
    <row r="104" spans="1:7" x14ac:dyDescent="0.35">
      <c r="A104" s="24" t="s">
        <v>156</v>
      </c>
      <c r="B104" s="25">
        <v>45517</v>
      </c>
      <c r="C104" s="26">
        <v>38060</v>
      </c>
      <c r="D104" s="27">
        <v>3.86</v>
      </c>
      <c r="E104" s="27">
        <v>3.41</v>
      </c>
      <c r="F104" s="27">
        <v>477</v>
      </c>
      <c r="G104" s="28">
        <v>25</v>
      </c>
    </row>
    <row r="105" spans="1:7" x14ac:dyDescent="0.35">
      <c r="A105" s="24" t="s">
        <v>156</v>
      </c>
      <c r="B105" s="25">
        <v>45519</v>
      </c>
      <c r="C105" s="26">
        <v>38060</v>
      </c>
      <c r="D105" s="27">
        <v>3.98</v>
      </c>
      <c r="E105" s="27">
        <v>3.43</v>
      </c>
      <c r="F105" s="27">
        <v>366</v>
      </c>
      <c r="G105" s="28">
        <v>11</v>
      </c>
    </row>
    <row r="106" spans="1:7" x14ac:dyDescent="0.35">
      <c r="A106" s="24" t="s">
        <v>156</v>
      </c>
      <c r="B106" s="25">
        <v>45544</v>
      </c>
      <c r="C106" s="26">
        <v>37676</v>
      </c>
      <c r="D106" s="27">
        <v>3.93</v>
      </c>
      <c r="E106" s="27">
        <v>3.46</v>
      </c>
      <c r="F106" s="27">
        <v>368</v>
      </c>
      <c r="G106" s="28">
        <v>6</v>
      </c>
    </row>
    <row r="107" spans="1:7" x14ac:dyDescent="0.35">
      <c r="A107" s="24" t="s">
        <v>156</v>
      </c>
      <c r="B107" s="25">
        <v>45551</v>
      </c>
      <c r="C107" s="26">
        <v>37676</v>
      </c>
      <c r="D107" s="27">
        <v>4.01</v>
      </c>
      <c r="E107" s="27">
        <v>3.35</v>
      </c>
      <c r="F107" s="27">
        <v>423</v>
      </c>
      <c r="G107" s="28">
        <v>9</v>
      </c>
    </row>
    <row r="108" spans="1:7" x14ac:dyDescent="0.35">
      <c r="A108" s="24" t="s">
        <v>156</v>
      </c>
      <c r="B108" s="25">
        <v>45580</v>
      </c>
      <c r="C108" s="26">
        <v>37825</v>
      </c>
      <c r="D108" s="27">
        <v>4.1100000000000003</v>
      </c>
      <c r="E108" s="27">
        <v>3.47</v>
      </c>
      <c r="F108" s="27">
        <v>332</v>
      </c>
      <c r="G108" s="28">
        <v>16</v>
      </c>
    </row>
    <row r="109" spans="1:7" x14ac:dyDescent="0.35">
      <c r="A109" s="24" t="s">
        <v>156</v>
      </c>
      <c r="B109" s="25">
        <v>45587</v>
      </c>
      <c r="C109" s="26">
        <v>37825</v>
      </c>
      <c r="D109" s="27">
        <v>4.26</v>
      </c>
      <c r="E109" s="27">
        <v>3.21</v>
      </c>
      <c r="F109" s="27">
        <v>410</v>
      </c>
      <c r="G109" s="28">
        <v>15</v>
      </c>
    </row>
    <row r="110" spans="1:7" x14ac:dyDescent="0.35">
      <c r="A110" s="24" t="s">
        <v>156</v>
      </c>
      <c r="B110" s="25">
        <v>45608</v>
      </c>
      <c r="C110" s="26">
        <v>36189</v>
      </c>
      <c r="D110" s="27">
        <v>4.05</v>
      </c>
      <c r="E110" s="27">
        <v>3.49</v>
      </c>
      <c r="F110" s="27">
        <v>428</v>
      </c>
      <c r="G110" s="28">
        <v>19</v>
      </c>
    </row>
    <row r="111" spans="1:7" x14ac:dyDescent="0.35">
      <c r="A111" s="24" t="s">
        <v>156</v>
      </c>
      <c r="B111" s="25">
        <v>45614</v>
      </c>
      <c r="C111" s="26">
        <v>36189</v>
      </c>
      <c r="D111" s="27">
        <v>4.1399999999999997</v>
      </c>
      <c r="E111" s="27">
        <v>3.38</v>
      </c>
      <c r="F111" s="27">
        <v>730</v>
      </c>
      <c r="G111" s="28">
        <v>96</v>
      </c>
    </row>
    <row r="112" spans="1:7" x14ac:dyDescent="0.35">
      <c r="A112" s="24" t="s">
        <v>156</v>
      </c>
      <c r="B112" s="25">
        <v>45637</v>
      </c>
      <c r="C112" s="26">
        <v>38260</v>
      </c>
      <c r="D112" s="27">
        <v>4.1100000000000003</v>
      </c>
      <c r="E112" s="27">
        <v>3.35</v>
      </c>
      <c r="F112" s="27">
        <v>703</v>
      </c>
      <c r="G112" s="28">
        <v>32</v>
      </c>
    </row>
    <row r="113" spans="1:7" x14ac:dyDescent="0.35">
      <c r="A113" s="24" t="s">
        <v>156</v>
      </c>
      <c r="B113" s="25">
        <v>45638</v>
      </c>
      <c r="C113" s="26">
        <v>38260</v>
      </c>
      <c r="D113" s="27">
        <v>4.2</v>
      </c>
      <c r="E113" s="27">
        <v>3.28</v>
      </c>
      <c r="F113" s="27">
        <v>369</v>
      </c>
      <c r="G113" s="28">
        <v>84</v>
      </c>
    </row>
    <row r="114" spans="1:7" x14ac:dyDescent="0.35">
      <c r="A114" s="24" t="s">
        <v>156</v>
      </c>
      <c r="B114" s="25">
        <v>45670</v>
      </c>
      <c r="C114" s="26">
        <v>38789</v>
      </c>
      <c r="D114" s="27">
        <v>4.12</v>
      </c>
      <c r="E114" s="27">
        <v>3.25</v>
      </c>
      <c r="F114" s="27">
        <v>475</v>
      </c>
      <c r="G114" s="28">
        <v>11</v>
      </c>
    </row>
    <row r="115" spans="1:7" x14ac:dyDescent="0.35">
      <c r="A115" s="24" t="s">
        <v>156</v>
      </c>
      <c r="B115" s="25">
        <v>45674</v>
      </c>
      <c r="C115" s="26">
        <v>38789</v>
      </c>
      <c r="D115" s="27">
        <v>4.0599999999999996</v>
      </c>
      <c r="E115" s="27">
        <v>3.4</v>
      </c>
      <c r="F115" s="27">
        <v>481</v>
      </c>
      <c r="G115" s="28">
        <v>23</v>
      </c>
    </row>
    <row r="116" spans="1:7" x14ac:dyDescent="0.35">
      <c r="A116" s="24" t="s">
        <v>156</v>
      </c>
      <c r="B116" s="25">
        <v>45698</v>
      </c>
      <c r="C116" s="26">
        <v>32851</v>
      </c>
      <c r="D116" s="27">
        <v>3.77</v>
      </c>
      <c r="E116" s="27">
        <v>3.36</v>
      </c>
      <c r="F116" s="27">
        <v>397</v>
      </c>
      <c r="G116" s="28">
        <v>30</v>
      </c>
    </row>
    <row r="117" spans="1:7" x14ac:dyDescent="0.35">
      <c r="A117" s="24" t="s">
        <v>156</v>
      </c>
      <c r="B117" s="25">
        <v>45701</v>
      </c>
      <c r="C117" s="26">
        <v>32851</v>
      </c>
      <c r="D117" s="27">
        <v>4.1500000000000004</v>
      </c>
      <c r="E117" s="27">
        <v>3.34</v>
      </c>
      <c r="F117" s="27">
        <v>650</v>
      </c>
      <c r="G117" s="28">
        <v>32</v>
      </c>
    </row>
    <row r="118" spans="1:7" x14ac:dyDescent="0.35">
      <c r="A118" s="24" t="s">
        <v>156</v>
      </c>
      <c r="B118" s="25">
        <v>45727</v>
      </c>
      <c r="C118" s="26">
        <v>32777</v>
      </c>
      <c r="D118" s="27">
        <v>4.1100000000000003</v>
      </c>
      <c r="E118" s="27">
        <v>3.37</v>
      </c>
      <c r="F118" s="27">
        <v>605</v>
      </c>
      <c r="G118" s="28">
        <v>210</v>
      </c>
    </row>
    <row r="119" spans="1:7" x14ac:dyDescent="0.35">
      <c r="A119" s="24" t="s">
        <v>156</v>
      </c>
      <c r="B119" s="25">
        <v>45730</v>
      </c>
      <c r="C119" s="26">
        <v>32777</v>
      </c>
      <c r="D119" s="27">
        <v>4.01</v>
      </c>
      <c r="E119" s="27">
        <v>3.31</v>
      </c>
      <c r="F119" s="26">
        <v>800</v>
      </c>
      <c r="G119" s="28">
        <v>60</v>
      </c>
    </row>
    <row r="120" spans="1:7" x14ac:dyDescent="0.35">
      <c r="A120" s="24" t="s">
        <v>156</v>
      </c>
      <c r="B120" s="25">
        <v>45754</v>
      </c>
      <c r="C120" s="26">
        <v>32484</v>
      </c>
      <c r="D120" s="27">
        <v>4.32</v>
      </c>
      <c r="E120" s="27">
        <v>3.43</v>
      </c>
      <c r="F120" s="27">
        <v>726</v>
      </c>
      <c r="G120" s="28">
        <v>19</v>
      </c>
    </row>
    <row r="121" spans="1:7" x14ac:dyDescent="0.35">
      <c r="A121" s="24" t="s">
        <v>156</v>
      </c>
      <c r="B121" s="25">
        <v>45762</v>
      </c>
      <c r="C121" s="26">
        <v>32484</v>
      </c>
      <c r="D121" s="27">
        <v>4.08</v>
      </c>
      <c r="E121" s="27">
        <v>3.48</v>
      </c>
      <c r="F121" s="27">
        <v>476</v>
      </c>
      <c r="G121" s="28">
        <v>12</v>
      </c>
    </row>
    <row r="122" spans="1:7" x14ac:dyDescent="0.35">
      <c r="A122" s="24" t="s">
        <v>156</v>
      </c>
      <c r="B122" s="25">
        <v>45772</v>
      </c>
      <c r="C122" s="26">
        <v>32484</v>
      </c>
      <c r="D122" s="27">
        <v>4.13</v>
      </c>
      <c r="E122" s="27">
        <v>3.42</v>
      </c>
      <c r="F122" s="27">
        <v>422</v>
      </c>
      <c r="G122" s="28">
        <v>10</v>
      </c>
    </row>
    <row r="123" spans="1:7" x14ac:dyDescent="0.35">
      <c r="A123" s="24" t="s">
        <v>167</v>
      </c>
      <c r="B123" s="25">
        <v>45482</v>
      </c>
      <c r="C123" s="26">
        <v>8429</v>
      </c>
      <c r="D123" s="27">
        <v>3.84</v>
      </c>
      <c r="E123" s="27">
        <v>3.12</v>
      </c>
      <c r="F123" s="27">
        <v>344</v>
      </c>
      <c r="G123" s="28">
        <v>47</v>
      </c>
    </row>
    <row r="124" spans="1:7" x14ac:dyDescent="0.35">
      <c r="A124" s="24" t="s">
        <v>167</v>
      </c>
      <c r="B124" s="25">
        <v>45488</v>
      </c>
      <c r="C124" s="26">
        <v>8429</v>
      </c>
      <c r="D124" s="27">
        <v>3.59</v>
      </c>
      <c r="E124" s="27">
        <v>3.08</v>
      </c>
      <c r="F124" s="27">
        <v>372</v>
      </c>
      <c r="G124" s="28">
        <v>31</v>
      </c>
    </row>
    <row r="125" spans="1:7" x14ac:dyDescent="0.35">
      <c r="A125" s="24" t="s">
        <v>167</v>
      </c>
      <c r="B125" s="25">
        <v>45517</v>
      </c>
      <c r="C125" s="26">
        <v>11932</v>
      </c>
      <c r="D125" s="27">
        <v>3.72</v>
      </c>
      <c r="E125" s="27">
        <v>3.13</v>
      </c>
      <c r="F125" s="27">
        <v>784</v>
      </c>
      <c r="G125" s="28">
        <v>118</v>
      </c>
    </row>
    <row r="126" spans="1:7" x14ac:dyDescent="0.35">
      <c r="A126" s="24" t="s">
        <v>167</v>
      </c>
      <c r="B126" s="25">
        <v>45519</v>
      </c>
      <c r="C126" s="26">
        <v>11932</v>
      </c>
      <c r="D126" s="27">
        <v>3.9</v>
      </c>
      <c r="E126" s="27">
        <v>3.06</v>
      </c>
      <c r="F126" s="27">
        <v>316</v>
      </c>
      <c r="G126" s="28">
        <v>101</v>
      </c>
    </row>
    <row r="127" spans="1:7" x14ac:dyDescent="0.35">
      <c r="A127" s="24" t="s">
        <v>167</v>
      </c>
      <c r="B127" s="25">
        <v>45544</v>
      </c>
      <c r="C127" s="26">
        <v>10636</v>
      </c>
      <c r="D127" s="27">
        <v>3.78</v>
      </c>
      <c r="E127" s="27">
        <v>3.06</v>
      </c>
      <c r="F127" s="27">
        <v>136</v>
      </c>
      <c r="G127" s="28">
        <v>17</v>
      </c>
    </row>
    <row r="128" spans="1:7" x14ac:dyDescent="0.35">
      <c r="A128" s="24" t="s">
        <v>167</v>
      </c>
      <c r="B128" s="25">
        <v>45551</v>
      </c>
      <c r="C128" s="26">
        <v>10636</v>
      </c>
      <c r="D128" s="27">
        <v>3.72</v>
      </c>
      <c r="E128" s="27">
        <v>3.01</v>
      </c>
      <c r="F128" s="27">
        <v>119</v>
      </c>
      <c r="G128" s="28">
        <v>32</v>
      </c>
    </row>
    <row r="129" spans="1:7" x14ac:dyDescent="0.35">
      <c r="A129" s="24" t="s">
        <v>167</v>
      </c>
      <c r="B129" s="25">
        <v>45580</v>
      </c>
      <c r="C129" s="26">
        <v>10722</v>
      </c>
      <c r="D129" s="27">
        <v>3.88</v>
      </c>
      <c r="E129" s="27">
        <v>3.21</v>
      </c>
      <c r="F129" s="27">
        <v>173</v>
      </c>
      <c r="G129" s="28">
        <v>18</v>
      </c>
    </row>
    <row r="130" spans="1:7" x14ac:dyDescent="0.35">
      <c r="A130" s="24" t="s">
        <v>167</v>
      </c>
      <c r="B130" s="25">
        <v>45587</v>
      </c>
      <c r="C130" s="26">
        <v>10722</v>
      </c>
      <c r="D130" s="27">
        <v>3.85</v>
      </c>
      <c r="E130" s="27">
        <v>3.18</v>
      </c>
      <c r="F130" s="27">
        <v>113</v>
      </c>
      <c r="G130" s="28">
        <v>27</v>
      </c>
    </row>
    <row r="131" spans="1:7" x14ac:dyDescent="0.35">
      <c r="A131" s="24" t="s">
        <v>167</v>
      </c>
      <c r="B131" s="25">
        <v>45608</v>
      </c>
      <c r="C131" s="26">
        <v>9399</v>
      </c>
      <c r="D131" s="27">
        <v>3.83</v>
      </c>
      <c r="E131" s="27">
        <v>3.1</v>
      </c>
      <c r="F131" s="27">
        <v>105</v>
      </c>
      <c r="G131" s="28">
        <v>7</v>
      </c>
    </row>
    <row r="132" spans="1:7" x14ac:dyDescent="0.35">
      <c r="A132" s="24" t="s">
        <v>167</v>
      </c>
      <c r="B132" s="25">
        <v>45614</v>
      </c>
      <c r="C132" s="26">
        <v>9399</v>
      </c>
      <c r="D132" s="27">
        <v>3.93</v>
      </c>
      <c r="E132" s="27">
        <v>3.18</v>
      </c>
      <c r="F132" s="27">
        <v>57</v>
      </c>
      <c r="G132" s="28">
        <v>5</v>
      </c>
    </row>
    <row r="133" spans="1:7" x14ac:dyDescent="0.35">
      <c r="A133" s="24" t="s">
        <v>167</v>
      </c>
      <c r="B133" s="25">
        <v>45637</v>
      </c>
      <c r="C133" s="26">
        <v>9206</v>
      </c>
      <c r="D133" s="27">
        <v>3.84</v>
      </c>
      <c r="E133" s="27">
        <v>3.14</v>
      </c>
      <c r="F133" s="27">
        <v>50</v>
      </c>
      <c r="G133" s="28">
        <v>5</v>
      </c>
    </row>
    <row r="134" spans="1:7" x14ac:dyDescent="0.35">
      <c r="A134" s="24" t="s">
        <v>167</v>
      </c>
      <c r="B134" s="25">
        <v>45638</v>
      </c>
      <c r="C134" s="26">
        <v>9206</v>
      </c>
      <c r="D134" s="27">
        <v>4.05</v>
      </c>
      <c r="E134" s="27">
        <v>3.22</v>
      </c>
      <c r="F134" s="27">
        <v>50</v>
      </c>
      <c r="G134" s="28">
        <v>9</v>
      </c>
    </row>
    <row r="135" spans="1:7" x14ac:dyDescent="0.35">
      <c r="A135" s="24" t="s">
        <v>167</v>
      </c>
      <c r="B135" s="25">
        <v>45670</v>
      </c>
      <c r="C135" s="26">
        <v>10253</v>
      </c>
      <c r="D135" s="27">
        <v>3.94</v>
      </c>
      <c r="E135" s="27">
        <v>3.08</v>
      </c>
      <c r="F135" s="27">
        <v>157</v>
      </c>
      <c r="G135" s="28">
        <v>5</v>
      </c>
    </row>
    <row r="136" spans="1:7" x14ac:dyDescent="0.35">
      <c r="A136" s="24" t="s">
        <v>167</v>
      </c>
      <c r="B136" s="25">
        <v>45674</v>
      </c>
      <c r="C136" s="26">
        <v>10253</v>
      </c>
      <c r="D136" s="27">
        <v>3.79</v>
      </c>
      <c r="E136" s="27">
        <v>3.06</v>
      </c>
      <c r="F136" s="27">
        <v>175</v>
      </c>
      <c r="G136" s="28">
        <v>17</v>
      </c>
    </row>
    <row r="137" spans="1:7" x14ac:dyDescent="0.35">
      <c r="A137" s="24" t="s">
        <v>167</v>
      </c>
      <c r="B137" s="25">
        <v>45698</v>
      </c>
      <c r="C137" s="26">
        <v>9279</v>
      </c>
      <c r="D137" s="27">
        <v>3.94</v>
      </c>
      <c r="E137" s="27">
        <v>3.31</v>
      </c>
      <c r="F137" s="27">
        <v>144</v>
      </c>
      <c r="G137" s="28">
        <v>34</v>
      </c>
    </row>
    <row r="138" spans="1:7" x14ac:dyDescent="0.35">
      <c r="A138" s="24" t="s">
        <v>167</v>
      </c>
      <c r="B138" s="25">
        <v>45701</v>
      </c>
      <c r="C138" s="26">
        <v>9279</v>
      </c>
      <c r="D138" s="27">
        <v>4.13</v>
      </c>
      <c r="E138" s="27">
        <v>3.27</v>
      </c>
      <c r="F138" s="27">
        <v>112</v>
      </c>
      <c r="G138" s="28">
        <v>15</v>
      </c>
    </row>
    <row r="139" spans="1:7" x14ac:dyDescent="0.35">
      <c r="A139" s="24" t="s">
        <v>167</v>
      </c>
      <c r="B139" s="25">
        <v>45727</v>
      </c>
      <c r="C139" s="26">
        <v>8484</v>
      </c>
      <c r="D139" s="27">
        <v>3.77</v>
      </c>
      <c r="E139" s="27">
        <v>3.21</v>
      </c>
      <c r="F139" s="27">
        <v>325</v>
      </c>
      <c r="G139" s="28">
        <v>31</v>
      </c>
    </row>
    <row r="140" spans="1:7" x14ac:dyDescent="0.35">
      <c r="A140" s="24" t="s">
        <v>167</v>
      </c>
      <c r="B140" s="25">
        <v>45730</v>
      </c>
      <c r="C140" s="26">
        <v>8484</v>
      </c>
      <c r="D140" s="27">
        <v>4.0599999999999996</v>
      </c>
      <c r="E140" s="27">
        <v>2.98</v>
      </c>
      <c r="F140" s="27">
        <v>52</v>
      </c>
      <c r="G140" s="28">
        <v>28</v>
      </c>
    </row>
    <row r="141" spans="1:7" x14ac:dyDescent="0.35">
      <c r="A141" s="24" t="s">
        <v>167</v>
      </c>
      <c r="B141" s="25">
        <v>45754</v>
      </c>
      <c r="C141" s="26">
        <v>8537</v>
      </c>
      <c r="D141" s="27">
        <v>4.0999999999999996</v>
      </c>
      <c r="E141" s="27">
        <v>3.21</v>
      </c>
      <c r="F141" s="27">
        <v>62</v>
      </c>
      <c r="G141" s="28">
        <v>89</v>
      </c>
    </row>
    <row r="142" spans="1:7" x14ac:dyDescent="0.35">
      <c r="A142" s="24" t="s">
        <v>167</v>
      </c>
      <c r="B142" s="25">
        <v>45762</v>
      </c>
      <c r="C142" s="26">
        <v>8537</v>
      </c>
      <c r="D142" s="27">
        <v>4.13</v>
      </c>
      <c r="E142" s="27">
        <v>3.34</v>
      </c>
      <c r="F142" s="27">
        <v>318</v>
      </c>
      <c r="G142" s="28">
        <v>46</v>
      </c>
    </row>
    <row r="143" spans="1:7" x14ac:dyDescent="0.35">
      <c r="A143" s="24" t="s">
        <v>171</v>
      </c>
      <c r="B143" s="25">
        <v>45478</v>
      </c>
      <c r="C143" s="26">
        <v>18063</v>
      </c>
      <c r="D143" s="27">
        <v>3.86</v>
      </c>
      <c r="E143" s="27">
        <v>3.23</v>
      </c>
      <c r="F143" s="27">
        <v>342</v>
      </c>
      <c r="G143" s="28">
        <v>63</v>
      </c>
    </row>
    <row r="144" spans="1:7" x14ac:dyDescent="0.35">
      <c r="A144" s="24" t="s">
        <v>171</v>
      </c>
      <c r="B144" s="25">
        <v>45488</v>
      </c>
      <c r="C144" s="26">
        <v>18063</v>
      </c>
      <c r="D144" s="27">
        <v>4.0199999999999996</v>
      </c>
      <c r="E144" s="27">
        <v>3.19</v>
      </c>
      <c r="F144" s="27">
        <v>100</v>
      </c>
      <c r="G144" s="28">
        <v>22</v>
      </c>
    </row>
    <row r="145" spans="1:7" x14ac:dyDescent="0.35">
      <c r="A145" s="24" t="s">
        <v>171</v>
      </c>
      <c r="B145" s="25">
        <v>45517</v>
      </c>
      <c r="C145" s="26">
        <v>20431</v>
      </c>
      <c r="D145" s="27">
        <v>4.21</v>
      </c>
      <c r="E145" s="27">
        <v>3.1</v>
      </c>
      <c r="F145" s="27">
        <v>98</v>
      </c>
      <c r="G145" s="28">
        <v>7</v>
      </c>
    </row>
    <row r="146" spans="1:7" x14ac:dyDescent="0.35">
      <c r="A146" s="24" t="s">
        <v>171</v>
      </c>
      <c r="B146" s="25">
        <v>45519</v>
      </c>
      <c r="C146" s="26">
        <v>20431</v>
      </c>
      <c r="D146" s="27">
        <v>3.91</v>
      </c>
      <c r="E146" s="27">
        <v>3.46</v>
      </c>
      <c r="F146" s="27">
        <v>242</v>
      </c>
      <c r="G146" s="28">
        <v>8</v>
      </c>
    </row>
    <row r="147" spans="1:7" x14ac:dyDescent="0.35">
      <c r="A147" s="24" t="s">
        <v>171</v>
      </c>
      <c r="B147" s="25">
        <v>45544</v>
      </c>
      <c r="C147" s="26">
        <v>20490</v>
      </c>
      <c r="D147" s="27">
        <v>4.01</v>
      </c>
      <c r="E147" s="27">
        <v>3.42</v>
      </c>
      <c r="F147" s="27">
        <v>112</v>
      </c>
      <c r="G147" s="28">
        <v>9</v>
      </c>
    </row>
    <row r="148" spans="1:7" x14ac:dyDescent="0.35">
      <c r="A148" s="24" t="s">
        <v>171</v>
      </c>
      <c r="B148" s="25">
        <v>45551</v>
      </c>
      <c r="C148" s="26">
        <v>20490</v>
      </c>
      <c r="D148" s="27">
        <v>3.96</v>
      </c>
      <c r="E148" s="27">
        <v>3.38</v>
      </c>
      <c r="F148" s="27">
        <v>164</v>
      </c>
      <c r="G148" s="28">
        <v>19</v>
      </c>
    </row>
    <row r="149" spans="1:7" x14ac:dyDescent="0.35">
      <c r="A149" s="24" t="s">
        <v>171</v>
      </c>
      <c r="B149" s="25">
        <v>45580</v>
      </c>
      <c r="C149" s="26">
        <v>20247</v>
      </c>
      <c r="D149" s="27">
        <v>3.99</v>
      </c>
      <c r="E149" s="27">
        <v>3.36</v>
      </c>
      <c r="F149" s="27">
        <v>194</v>
      </c>
      <c r="G149" s="28">
        <v>9</v>
      </c>
    </row>
    <row r="150" spans="1:7" x14ac:dyDescent="0.35">
      <c r="A150" s="24" t="s">
        <v>171</v>
      </c>
      <c r="B150" s="25">
        <v>45587</v>
      </c>
      <c r="C150" s="26">
        <v>20247</v>
      </c>
      <c r="D150" s="27">
        <v>3.96</v>
      </c>
      <c r="E150" s="27">
        <v>3.27</v>
      </c>
      <c r="F150" s="27">
        <v>240</v>
      </c>
      <c r="G150" s="28">
        <v>14</v>
      </c>
    </row>
    <row r="151" spans="1:7" x14ac:dyDescent="0.35">
      <c r="A151" s="24" t="s">
        <v>171</v>
      </c>
      <c r="B151" s="25">
        <v>45608</v>
      </c>
      <c r="C151" s="26">
        <v>17896</v>
      </c>
      <c r="D151" s="27">
        <v>3.96</v>
      </c>
      <c r="E151" s="27">
        <v>3.26</v>
      </c>
      <c r="F151" s="27">
        <v>249</v>
      </c>
      <c r="G151" s="28">
        <v>38</v>
      </c>
    </row>
    <row r="152" spans="1:7" x14ac:dyDescent="0.35">
      <c r="A152" s="24" t="s">
        <v>171</v>
      </c>
      <c r="B152" s="25">
        <v>45614</v>
      </c>
      <c r="C152" s="26">
        <v>17896</v>
      </c>
      <c r="D152" s="27">
        <v>3.98</v>
      </c>
      <c r="E152" s="27">
        <v>3.25</v>
      </c>
      <c r="F152" s="27">
        <v>506</v>
      </c>
      <c r="G152" s="28">
        <v>22</v>
      </c>
    </row>
    <row r="153" spans="1:7" x14ac:dyDescent="0.35">
      <c r="A153" s="24" t="s">
        <v>171</v>
      </c>
      <c r="B153" s="25">
        <v>45637</v>
      </c>
      <c r="C153" s="26">
        <v>19490</v>
      </c>
      <c r="D153" s="27">
        <v>3.99</v>
      </c>
      <c r="E153" s="27">
        <v>3.33</v>
      </c>
      <c r="F153" s="27">
        <v>243</v>
      </c>
      <c r="G153" s="28">
        <v>26</v>
      </c>
    </row>
    <row r="154" spans="1:7" x14ac:dyDescent="0.35">
      <c r="A154" s="24" t="s">
        <v>171</v>
      </c>
      <c r="B154" s="25">
        <v>45638</v>
      </c>
      <c r="C154" s="26">
        <v>19490</v>
      </c>
      <c r="D154" s="27">
        <v>4.13</v>
      </c>
      <c r="E154" s="27">
        <v>3.33</v>
      </c>
      <c r="F154" s="27">
        <v>422</v>
      </c>
      <c r="G154" s="28">
        <v>15</v>
      </c>
    </row>
    <row r="155" spans="1:7" x14ac:dyDescent="0.35">
      <c r="A155" s="24" t="s">
        <v>171</v>
      </c>
      <c r="B155" s="25">
        <v>45670</v>
      </c>
      <c r="C155" s="26">
        <v>17091</v>
      </c>
      <c r="D155" s="27">
        <v>4.09</v>
      </c>
      <c r="E155" s="27">
        <v>3.32</v>
      </c>
      <c r="F155" s="27">
        <v>427</v>
      </c>
      <c r="G155" s="28">
        <v>15</v>
      </c>
    </row>
    <row r="156" spans="1:7" x14ac:dyDescent="0.35">
      <c r="A156" s="24" t="s">
        <v>171</v>
      </c>
      <c r="B156" s="25">
        <v>45674</v>
      </c>
      <c r="C156" s="26">
        <v>17091</v>
      </c>
      <c r="D156" s="27">
        <v>4.21</v>
      </c>
      <c r="E156" s="27">
        <v>3.31</v>
      </c>
      <c r="F156" s="27">
        <v>495</v>
      </c>
      <c r="G156" s="28">
        <v>74</v>
      </c>
    </row>
    <row r="157" spans="1:7" x14ac:dyDescent="0.35">
      <c r="A157" s="24" t="s">
        <v>171</v>
      </c>
      <c r="B157" s="25">
        <v>45698</v>
      </c>
      <c r="C157" s="26">
        <v>15452</v>
      </c>
      <c r="D157" s="27">
        <v>3.91</v>
      </c>
      <c r="E157" s="27">
        <v>3.29</v>
      </c>
      <c r="F157" s="27">
        <v>504</v>
      </c>
      <c r="G157" s="28">
        <v>383</v>
      </c>
    </row>
    <row r="158" spans="1:7" x14ac:dyDescent="0.35">
      <c r="A158" s="24" t="s">
        <v>171</v>
      </c>
      <c r="B158" s="25">
        <v>45701</v>
      </c>
      <c r="C158" s="26">
        <v>15452</v>
      </c>
      <c r="D158" s="27">
        <v>4.08</v>
      </c>
      <c r="E158" s="27">
        <v>3.24</v>
      </c>
      <c r="F158" s="27">
        <v>379</v>
      </c>
      <c r="G158" s="28">
        <v>27</v>
      </c>
    </row>
    <row r="159" spans="1:7" x14ac:dyDescent="0.35">
      <c r="A159" s="24" t="s">
        <v>171</v>
      </c>
      <c r="B159" s="25">
        <v>45727</v>
      </c>
      <c r="C159" s="26">
        <v>15673</v>
      </c>
      <c r="D159" s="27">
        <v>4.0999999999999996</v>
      </c>
      <c r="E159" s="27">
        <v>3.44</v>
      </c>
      <c r="F159" s="27">
        <v>358</v>
      </c>
      <c r="G159" s="28">
        <v>39</v>
      </c>
    </row>
    <row r="160" spans="1:7" x14ac:dyDescent="0.35">
      <c r="A160" s="24" t="s">
        <v>171</v>
      </c>
      <c r="B160" s="25">
        <v>45730</v>
      </c>
      <c r="C160" s="26">
        <v>15673</v>
      </c>
      <c r="D160" s="27">
        <v>4.26</v>
      </c>
      <c r="E160" s="27">
        <v>3.41</v>
      </c>
      <c r="F160" s="27">
        <v>321</v>
      </c>
      <c r="G160" s="28">
        <v>109</v>
      </c>
    </row>
    <row r="161" spans="1:7" x14ac:dyDescent="0.35">
      <c r="A161" s="24" t="s">
        <v>171</v>
      </c>
      <c r="B161" s="25">
        <v>45754</v>
      </c>
      <c r="C161" s="26">
        <v>16018</v>
      </c>
      <c r="D161" s="27">
        <v>4.18</v>
      </c>
      <c r="E161" s="27">
        <v>3.55</v>
      </c>
      <c r="F161" s="27">
        <v>192</v>
      </c>
      <c r="G161" s="28">
        <v>56</v>
      </c>
    </row>
    <row r="162" spans="1:7" x14ac:dyDescent="0.35">
      <c r="A162" s="24" t="s">
        <v>171</v>
      </c>
      <c r="B162" s="25">
        <v>45758</v>
      </c>
      <c r="C162" s="26">
        <v>16018</v>
      </c>
      <c r="D162" s="27">
        <v>4.3600000000000003</v>
      </c>
      <c r="E162" s="27">
        <v>3.62</v>
      </c>
      <c r="F162" s="27">
        <v>312</v>
      </c>
      <c r="G162" s="28">
        <v>18</v>
      </c>
    </row>
    <row r="163" spans="1:7" x14ac:dyDescent="0.35">
      <c r="A163" s="24" t="s">
        <v>181</v>
      </c>
      <c r="B163" s="25">
        <v>45478</v>
      </c>
      <c r="C163" s="26">
        <v>14338</v>
      </c>
      <c r="D163" s="27">
        <v>4.25</v>
      </c>
      <c r="E163" s="27">
        <v>3.41</v>
      </c>
      <c r="F163" s="27">
        <v>255</v>
      </c>
      <c r="G163" s="28">
        <v>6</v>
      </c>
    </row>
    <row r="164" spans="1:7" x14ac:dyDescent="0.35">
      <c r="A164" s="24" t="s">
        <v>181</v>
      </c>
      <c r="B164" s="25">
        <v>45488</v>
      </c>
      <c r="C164" s="26">
        <v>14338</v>
      </c>
      <c r="D164" s="27">
        <v>4.16</v>
      </c>
      <c r="E164" s="27">
        <v>3.32</v>
      </c>
      <c r="F164" s="27">
        <v>140</v>
      </c>
      <c r="G164" s="28">
        <v>12</v>
      </c>
    </row>
    <row r="165" spans="1:7" x14ac:dyDescent="0.35">
      <c r="A165" s="24" t="s">
        <v>181</v>
      </c>
      <c r="B165" s="25">
        <v>45517</v>
      </c>
      <c r="C165" s="26">
        <v>15467</v>
      </c>
      <c r="D165" s="27">
        <v>4.22</v>
      </c>
      <c r="E165" s="27">
        <v>3.34</v>
      </c>
      <c r="F165" s="27">
        <v>126</v>
      </c>
      <c r="G165" s="28">
        <v>5</v>
      </c>
    </row>
    <row r="166" spans="1:7" x14ac:dyDescent="0.35">
      <c r="A166" s="24" t="s">
        <v>181</v>
      </c>
      <c r="B166" s="25">
        <v>45519</v>
      </c>
      <c r="C166" s="26">
        <v>15467</v>
      </c>
      <c r="D166" s="27">
        <v>4.2</v>
      </c>
      <c r="E166" s="27">
        <v>3.38</v>
      </c>
      <c r="F166" s="27">
        <v>93</v>
      </c>
      <c r="G166" s="28">
        <v>5</v>
      </c>
    </row>
    <row r="167" spans="1:7" x14ac:dyDescent="0.35">
      <c r="A167" s="24" t="s">
        <v>181</v>
      </c>
      <c r="B167" s="25">
        <v>45544</v>
      </c>
      <c r="C167" s="26">
        <v>16069</v>
      </c>
      <c r="D167" s="27">
        <v>4.13</v>
      </c>
      <c r="E167" s="27">
        <v>3.36</v>
      </c>
      <c r="F167" s="27">
        <v>167</v>
      </c>
      <c r="G167" s="28">
        <v>5</v>
      </c>
    </row>
    <row r="168" spans="1:7" x14ac:dyDescent="0.35">
      <c r="A168" s="24" t="s">
        <v>181</v>
      </c>
      <c r="B168" s="25">
        <v>45551</v>
      </c>
      <c r="C168" s="26">
        <v>16069</v>
      </c>
      <c r="D168" s="27">
        <v>4.12</v>
      </c>
      <c r="E168" s="27">
        <v>3.26</v>
      </c>
      <c r="F168" s="27">
        <v>185</v>
      </c>
      <c r="G168" s="28">
        <v>5</v>
      </c>
    </row>
    <row r="169" spans="1:7" x14ac:dyDescent="0.35">
      <c r="A169" s="24" t="s">
        <v>181</v>
      </c>
      <c r="B169" s="25">
        <v>45580</v>
      </c>
      <c r="C169" s="26">
        <v>15841</v>
      </c>
      <c r="D169" s="27">
        <v>4.08</v>
      </c>
      <c r="E169" s="27">
        <v>3.33</v>
      </c>
      <c r="F169" s="27">
        <v>251</v>
      </c>
      <c r="G169" s="28">
        <v>5</v>
      </c>
    </row>
    <row r="170" spans="1:7" x14ac:dyDescent="0.35">
      <c r="A170" s="24" t="s">
        <v>181</v>
      </c>
      <c r="B170" s="25">
        <v>45587</v>
      </c>
      <c r="C170" s="26">
        <v>15841</v>
      </c>
      <c r="D170" s="27">
        <v>3.97</v>
      </c>
      <c r="E170" s="27">
        <v>3.28</v>
      </c>
      <c r="F170" s="27">
        <v>527</v>
      </c>
      <c r="G170" s="28">
        <v>11</v>
      </c>
    </row>
    <row r="171" spans="1:7" x14ac:dyDescent="0.35">
      <c r="A171" s="24" t="s">
        <v>181</v>
      </c>
      <c r="B171" s="25">
        <v>45608</v>
      </c>
      <c r="C171" s="26">
        <v>15090</v>
      </c>
      <c r="D171" s="27">
        <v>4.0999999999999996</v>
      </c>
      <c r="E171" s="27">
        <v>3.27</v>
      </c>
      <c r="F171" s="27">
        <v>173</v>
      </c>
      <c r="G171" s="28">
        <v>5</v>
      </c>
    </row>
    <row r="172" spans="1:7" x14ac:dyDescent="0.35">
      <c r="A172" s="24" t="s">
        <v>181</v>
      </c>
      <c r="B172" s="25">
        <v>45614</v>
      </c>
      <c r="C172" s="26">
        <v>15090</v>
      </c>
      <c r="D172" s="27">
        <v>3.88</v>
      </c>
      <c r="E172" s="27">
        <v>3.23</v>
      </c>
      <c r="F172" s="27">
        <v>165</v>
      </c>
      <c r="G172" s="28">
        <v>5</v>
      </c>
    </row>
    <row r="173" spans="1:7" x14ac:dyDescent="0.35">
      <c r="A173" s="24" t="s">
        <v>181</v>
      </c>
      <c r="B173" s="25">
        <v>45637</v>
      </c>
      <c r="C173" s="26">
        <v>14789</v>
      </c>
      <c r="D173" s="27">
        <v>3.87</v>
      </c>
      <c r="E173" s="27">
        <v>3.16</v>
      </c>
      <c r="F173" s="27">
        <v>108</v>
      </c>
      <c r="G173" s="28">
        <v>5</v>
      </c>
    </row>
    <row r="174" spans="1:7" x14ac:dyDescent="0.35">
      <c r="A174" s="24" t="s">
        <v>181</v>
      </c>
      <c r="B174" s="25">
        <v>45638</v>
      </c>
      <c r="C174" s="26">
        <v>14789</v>
      </c>
      <c r="D174" s="27">
        <v>3.67</v>
      </c>
      <c r="E174" s="27">
        <v>3.19</v>
      </c>
      <c r="F174" s="27">
        <v>159</v>
      </c>
      <c r="G174" s="28">
        <v>5</v>
      </c>
    </row>
    <row r="175" spans="1:7" x14ac:dyDescent="0.35">
      <c r="A175" s="24" t="s">
        <v>181</v>
      </c>
      <c r="B175" s="25">
        <v>45670</v>
      </c>
      <c r="C175" s="26">
        <v>18375</v>
      </c>
      <c r="D175" s="27">
        <v>3.68</v>
      </c>
      <c r="E175" s="27">
        <v>3.06</v>
      </c>
      <c r="F175" s="27">
        <v>63</v>
      </c>
      <c r="G175" s="28">
        <v>5</v>
      </c>
    </row>
    <row r="176" spans="1:7" x14ac:dyDescent="0.35">
      <c r="A176" s="24" t="s">
        <v>181</v>
      </c>
      <c r="B176" s="25">
        <v>45674</v>
      </c>
      <c r="C176" s="26">
        <v>18375</v>
      </c>
      <c r="D176" s="27">
        <v>3.82</v>
      </c>
      <c r="E176" s="27">
        <v>3.19</v>
      </c>
      <c r="F176" s="27">
        <v>213</v>
      </c>
      <c r="G176" s="28">
        <v>5</v>
      </c>
    </row>
    <row r="177" spans="1:7" x14ac:dyDescent="0.35">
      <c r="A177" s="24" t="s">
        <v>181</v>
      </c>
      <c r="B177" s="25">
        <v>45698</v>
      </c>
      <c r="C177" s="26">
        <v>16031</v>
      </c>
      <c r="D177" s="27">
        <v>3.83</v>
      </c>
      <c r="E177" s="27">
        <v>3.28</v>
      </c>
      <c r="F177" s="27">
        <v>163</v>
      </c>
      <c r="G177" s="28">
        <v>5</v>
      </c>
    </row>
    <row r="178" spans="1:7" x14ac:dyDescent="0.35">
      <c r="A178" s="24" t="s">
        <v>181</v>
      </c>
      <c r="B178" s="25">
        <v>45701</v>
      </c>
      <c r="C178" s="26">
        <v>16031</v>
      </c>
      <c r="D178" s="27">
        <v>3.83</v>
      </c>
      <c r="E178" s="27">
        <v>3.29</v>
      </c>
      <c r="F178" s="27">
        <v>213</v>
      </c>
      <c r="G178" s="28">
        <v>6</v>
      </c>
    </row>
    <row r="179" spans="1:7" x14ac:dyDescent="0.35">
      <c r="A179" s="24" t="s">
        <v>181</v>
      </c>
      <c r="B179" s="25">
        <v>45727</v>
      </c>
      <c r="C179" s="26">
        <v>18077</v>
      </c>
      <c r="D179" s="27">
        <v>3.99</v>
      </c>
      <c r="E179" s="27">
        <v>3.2</v>
      </c>
      <c r="F179" s="27">
        <v>239</v>
      </c>
      <c r="G179" s="28">
        <v>5</v>
      </c>
    </row>
    <row r="180" spans="1:7" x14ac:dyDescent="0.35">
      <c r="A180" s="24" t="s">
        <v>181</v>
      </c>
      <c r="B180" s="25">
        <v>45730</v>
      </c>
      <c r="C180" s="26">
        <v>18077</v>
      </c>
      <c r="D180" s="27">
        <v>4.1399999999999997</v>
      </c>
      <c r="E180" s="27">
        <v>3.24</v>
      </c>
      <c r="F180" s="27">
        <v>111</v>
      </c>
      <c r="G180" s="28">
        <v>5</v>
      </c>
    </row>
    <row r="181" spans="1:7" x14ac:dyDescent="0.35">
      <c r="A181" s="24" t="s">
        <v>181</v>
      </c>
      <c r="B181" s="25">
        <v>45754</v>
      </c>
      <c r="C181" s="26">
        <v>17669</v>
      </c>
      <c r="D181" s="27">
        <v>3.93</v>
      </c>
      <c r="E181" s="27">
        <v>3.31</v>
      </c>
      <c r="F181" s="27">
        <v>136</v>
      </c>
      <c r="G181" s="28">
        <v>5</v>
      </c>
    </row>
    <row r="182" spans="1:7" x14ac:dyDescent="0.35">
      <c r="A182" s="24" t="s">
        <v>181</v>
      </c>
      <c r="B182" s="25">
        <v>45758</v>
      </c>
      <c r="C182" s="26">
        <v>17669</v>
      </c>
      <c r="D182" s="27">
        <v>4.12</v>
      </c>
      <c r="E182" s="27">
        <v>3.41</v>
      </c>
      <c r="F182" s="27">
        <v>264</v>
      </c>
      <c r="G182" s="28">
        <v>5</v>
      </c>
    </row>
    <row r="183" spans="1:7" x14ac:dyDescent="0.35">
      <c r="A183" s="24" t="s">
        <v>185</v>
      </c>
      <c r="B183" s="25">
        <v>45478</v>
      </c>
      <c r="C183" s="26">
        <v>13861</v>
      </c>
      <c r="D183" s="27">
        <v>3.18</v>
      </c>
      <c r="E183" s="27">
        <v>3.22</v>
      </c>
      <c r="F183" s="27">
        <v>344</v>
      </c>
      <c r="G183" s="28">
        <v>364</v>
      </c>
    </row>
    <row r="184" spans="1:7" x14ac:dyDescent="0.35">
      <c r="A184" s="24" t="s">
        <v>185</v>
      </c>
      <c r="B184" s="25">
        <v>45488</v>
      </c>
      <c r="C184" s="26">
        <v>13861</v>
      </c>
      <c r="D184" s="27">
        <v>3.24</v>
      </c>
      <c r="E184" s="27">
        <v>3.27</v>
      </c>
      <c r="F184" s="27">
        <v>107</v>
      </c>
      <c r="G184" s="28">
        <v>131</v>
      </c>
    </row>
    <row r="185" spans="1:7" x14ac:dyDescent="0.35">
      <c r="A185" s="24" t="s">
        <v>185</v>
      </c>
      <c r="B185" s="25">
        <v>45517</v>
      </c>
      <c r="C185" s="26">
        <v>16501</v>
      </c>
      <c r="D185" s="27">
        <v>3.62</v>
      </c>
      <c r="E185" s="27">
        <v>3.17</v>
      </c>
      <c r="F185" s="27">
        <v>97</v>
      </c>
      <c r="G185" s="28">
        <v>9</v>
      </c>
    </row>
    <row r="186" spans="1:7" x14ac:dyDescent="0.35">
      <c r="A186" s="24" t="s">
        <v>185</v>
      </c>
      <c r="B186" s="25">
        <v>45519</v>
      </c>
      <c r="C186" s="26">
        <v>16501</v>
      </c>
      <c r="D186" s="27">
        <v>3.51</v>
      </c>
      <c r="E186" s="27">
        <v>3.21</v>
      </c>
      <c r="F186" s="27">
        <v>97</v>
      </c>
      <c r="G186" s="28">
        <v>71</v>
      </c>
    </row>
    <row r="187" spans="1:7" x14ac:dyDescent="0.35">
      <c r="A187" s="24" t="s">
        <v>185</v>
      </c>
      <c r="B187" s="25">
        <v>45544</v>
      </c>
      <c r="C187" s="26">
        <v>15554</v>
      </c>
      <c r="D187" s="27">
        <v>3.65</v>
      </c>
      <c r="E187" s="27">
        <v>3.11</v>
      </c>
      <c r="F187" s="27">
        <v>82</v>
      </c>
      <c r="G187" s="28">
        <v>49</v>
      </c>
    </row>
    <row r="188" spans="1:7" x14ac:dyDescent="0.35">
      <c r="A188" s="24" t="s">
        <v>185</v>
      </c>
      <c r="B188" s="25">
        <v>45551</v>
      </c>
      <c r="C188" s="26">
        <v>15554</v>
      </c>
      <c r="D188" s="27">
        <v>3.42</v>
      </c>
      <c r="E188" s="27">
        <v>3.12</v>
      </c>
      <c r="F188" s="27">
        <v>134</v>
      </c>
      <c r="G188" s="28">
        <v>13</v>
      </c>
    </row>
    <row r="189" spans="1:7" x14ac:dyDescent="0.35">
      <c r="A189" s="24" t="s">
        <v>185</v>
      </c>
      <c r="B189" s="25">
        <v>45580</v>
      </c>
      <c r="C189" s="26">
        <v>14938</v>
      </c>
      <c r="D189" s="27">
        <v>3.67</v>
      </c>
      <c r="E189" s="27">
        <v>3.26</v>
      </c>
      <c r="F189" s="27">
        <v>348</v>
      </c>
      <c r="G189" s="28">
        <v>15</v>
      </c>
    </row>
    <row r="190" spans="1:7" x14ac:dyDescent="0.35">
      <c r="A190" s="24" t="s">
        <v>185</v>
      </c>
      <c r="B190" s="25">
        <v>45587</v>
      </c>
      <c r="C190" s="26">
        <v>14938</v>
      </c>
      <c r="D190" s="27">
        <v>3.56</v>
      </c>
      <c r="E190" s="27">
        <v>3.24</v>
      </c>
      <c r="F190" s="27">
        <v>97</v>
      </c>
      <c r="G190" s="28">
        <v>18</v>
      </c>
    </row>
    <row r="191" spans="1:7" x14ac:dyDescent="0.35">
      <c r="A191" s="24" t="s">
        <v>185</v>
      </c>
      <c r="B191" s="25">
        <v>45608</v>
      </c>
      <c r="C191" s="26">
        <v>13376</v>
      </c>
      <c r="D191" s="27">
        <v>3.61</v>
      </c>
      <c r="E191" s="27">
        <v>3.3</v>
      </c>
      <c r="F191" s="27">
        <v>119</v>
      </c>
      <c r="G191" s="28">
        <v>75</v>
      </c>
    </row>
    <row r="192" spans="1:7" x14ac:dyDescent="0.35">
      <c r="A192" s="24" t="s">
        <v>185</v>
      </c>
      <c r="B192" s="25">
        <v>45614</v>
      </c>
      <c r="C192" s="26">
        <v>13376</v>
      </c>
      <c r="D192" s="27">
        <v>3.62</v>
      </c>
      <c r="E192" s="27">
        <v>3.24</v>
      </c>
      <c r="F192" s="27">
        <v>116</v>
      </c>
      <c r="G192" s="28">
        <v>126</v>
      </c>
    </row>
    <row r="193" spans="1:7" x14ac:dyDescent="0.35">
      <c r="A193" s="24" t="s">
        <v>185</v>
      </c>
      <c r="B193" s="25">
        <v>45637</v>
      </c>
      <c r="C193" s="26">
        <v>11661</v>
      </c>
      <c r="D193" s="27">
        <v>4.12</v>
      </c>
      <c r="E193" s="27">
        <v>3.21</v>
      </c>
      <c r="F193" s="27">
        <v>184</v>
      </c>
      <c r="G193" s="28">
        <v>210</v>
      </c>
    </row>
    <row r="194" spans="1:7" x14ac:dyDescent="0.35">
      <c r="A194" s="24" t="s">
        <v>185</v>
      </c>
      <c r="B194" s="25">
        <v>45638</v>
      </c>
      <c r="C194" s="26">
        <v>11661</v>
      </c>
      <c r="D194" s="27">
        <v>3.66</v>
      </c>
      <c r="E194" s="27">
        <v>3.33</v>
      </c>
      <c r="F194" s="27">
        <v>185</v>
      </c>
      <c r="G194" s="28">
        <v>222</v>
      </c>
    </row>
    <row r="195" spans="1:7" x14ac:dyDescent="0.35">
      <c r="A195" s="24" t="s">
        <v>185</v>
      </c>
      <c r="B195" s="25">
        <v>45670</v>
      </c>
      <c r="C195" s="26">
        <v>10680</v>
      </c>
      <c r="D195" s="27">
        <v>3.81</v>
      </c>
      <c r="E195" s="27">
        <v>3.27</v>
      </c>
      <c r="F195" s="27">
        <v>98</v>
      </c>
      <c r="G195" s="28">
        <v>124</v>
      </c>
    </row>
    <row r="196" spans="1:7" x14ac:dyDescent="0.35">
      <c r="A196" s="24" t="s">
        <v>185</v>
      </c>
      <c r="B196" s="25">
        <v>45681</v>
      </c>
      <c r="C196" s="26">
        <v>10680</v>
      </c>
      <c r="D196" s="27">
        <v>3.83</v>
      </c>
      <c r="E196" s="27">
        <v>3.31</v>
      </c>
      <c r="F196" s="27">
        <v>103</v>
      </c>
      <c r="G196" s="28">
        <v>500</v>
      </c>
    </row>
    <row r="197" spans="1:7" x14ac:dyDescent="0.35">
      <c r="A197" s="24" t="s">
        <v>185</v>
      </c>
      <c r="B197" s="25">
        <v>45698</v>
      </c>
      <c r="C197" s="26">
        <v>8752</v>
      </c>
      <c r="D197" s="27">
        <v>3.81</v>
      </c>
      <c r="E197" s="27">
        <v>3.18</v>
      </c>
      <c r="F197" s="27">
        <v>265</v>
      </c>
      <c r="G197" s="28">
        <v>287</v>
      </c>
    </row>
    <row r="198" spans="1:7" x14ac:dyDescent="0.35">
      <c r="A198" s="24" t="s">
        <v>185</v>
      </c>
      <c r="B198" s="25">
        <v>45701</v>
      </c>
      <c r="C198" s="26">
        <v>8752</v>
      </c>
      <c r="D198" s="27">
        <v>3.76</v>
      </c>
      <c r="E198" s="27">
        <v>3.17</v>
      </c>
      <c r="F198" s="27">
        <v>409</v>
      </c>
      <c r="G198" s="28">
        <v>207</v>
      </c>
    </row>
    <row r="199" spans="1:7" x14ac:dyDescent="0.35">
      <c r="A199" s="24" t="s">
        <v>185</v>
      </c>
      <c r="B199" s="25">
        <v>45727</v>
      </c>
      <c r="C199" s="26">
        <v>8823</v>
      </c>
      <c r="D199" s="27">
        <v>4.0199999999999996</v>
      </c>
      <c r="E199" s="27">
        <v>3.25</v>
      </c>
      <c r="F199" s="27">
        <v>164</v>
      </c>
      <c r="G199" s="28">
        <v>69</v>
      </c>
    </row>
    <row r="200" spans="1:7" x14ac:dyDescent="0.35">
      <c r="A200" s="24" t="s">
        <v>185</v>
      </c>
      <c r="B200" s="25">
        <v>45730</v>
      </c>
      <c r="C200" s="26">
        <v>8823</v>
      </c>
      <c r="D200" s="27">
        <v>3.99</v>
      </c>
      <c r="E200" s="27">
        <v>3.2</v>
      </c>
      <c r="F200" s="27">
        <v>146</v>
      </c>
      <c r="G200" s="28">
        <v>500</v>
      </c>
    </row>
    <row r="201" spans="1:7" x14ac:dyDescent="0.35">
      <c r="A201" s="24" t="s">
        <v>185</v>
      </c>
      <c r="B201" s="25">
        <v>45754</v>
      </c>
      <c r="C201" s="26">
        <v>9083</v>
      </c>
      <c r="D201" s="27">
        <v>4.1100000000000003</v>
      </c>
      <c r="E201" s="27">
        <v>3.26</v>
      </c>
      <c r="F201" s="27">
        <v>244</v>
      </c>
      <c r="G201" s="28">
        <v>124</v>
      </c>
    </row>
    <row r="202" spans="1:7" x14ac:dyDescent="0.35">
      <c r="A202" s="24" t="s">
        <v>185</v>
      </c>
      <c r="B202" s="25">
        <v>45758</v>
      </c>
      <c r="C202" s="26">
        <v>9083</v>
      </c>
      <c r="D202" s="27">
        <v>3.9</v>
      </c>
      <c r="E202" s="27">
        <v>3.34</v>
      </c>
      <c r="F202" s="27">
        <v>187</v>
      </c>
      <c r="G202" s="28">
        <v>133</v>
      </c>
    </row>
    <row r="203" spans="1:7" x14ac:dyDescent="0.35">
      <c r="A203" s="24" t="s">
        <v>191</v>
      </c>
      <c r="B203" s="25">
        <v>45478</v>
      </c>
      <c r="C203" s="26">
        <v>33973</v>
      </c>
      <c r="D203" s="27">
        <v>3.6</v>
      </c>
      <c r="E203" s="27">
        <v>3.36</v>
      </c>
      <c r="F203" s="27">
        <v>156</v>
      </c>
      <c r="G203" s="28">
        <v>7</v>
      </c>
    </row>
    <row r="204" spans="1:7" x14ac:dyDescent="0.35">
      <c r="A204" s="24" t="s">
        <v>191</v>
      </c>
      <c r="B204" s="25">
        <v>45488</v>
      </c>
      <c r="C204" s="26">
        <v>33973</v>
      </c>
      <c r="D204" s="27">
        <v>3.63</v>
      </c>
      <c r="E204" s="27">
        <v>3.35</v>
      </c>
      <c r="F204" s="27">
        <v>115</v>
      </c>
      <c r="G204" s="28">
        <v>9</v>
      </c>
    </row>
    <row r="205" spans="1:7" x14ac:dyDescent="0.35">
      <c r="A205" s="24" t="s">
        <v>191</v>
      </c>
      <c r="B205" s="25">
        <v>45517</v>
      </c>
      <c r="C205" s="26">
        <v>39191</v>
      </c>
      <c r="D205" s="27">
        <v>3.65</v>
      </c>
      <c r="E205" s="27">
        <v>3.36</v>
      </c>
      <c r="F205" s="27">
        <v>113</v>
      </c>
      <c r="G205" s="28">
        <v>5</v>
      </c>
    </row>
    <row r="206" spans="1:7" x14ac:dyDescent="0.35">
      <c r="A206" s="24" t="s">
        <v>191</v>
      </c>
      <c r="B206" s="25">
        <v>45519</v>
      </c>
      <c r="C206" s="26">
        <v>39191</v>
      </c>
      <c r="D206" s="27">
        <v>3.56</v>
      </c>
      <c r="E206" s="27">
        <v>3.22</v>
      </c>
      <c r="F206" s="27">
        <v>104</v>
      </c>
      <c r="G206" s="28">
        <v>5</v>
      </c>
    </row>
    <row r="207" spans="1:7" x14ac:dyDescent="0.35">
      <c r="A207" s="24" t="s">
        <v>191</v>
      </c>
      <c r="B207" s="25">
        <v>45544</v>
      </c>
      <c r="C207" s="26">
        <v>38697</v>
      </c>
      <c r="D207" s="27">
        <v>3.66</v>
      </c>
      <c r="E207" s="27">
        <v>3.35</v>
      </c>
      <c r="F207" s="27">
        <v>147</v>
      </c>
      <c r="G207" s="28">
        <v>5</v>
      </c>
    </row>
    <row r="208" spans="1:7" x14ac:dyDescent="0.35">
      <c r="A208" s="24" t="s">
        <v>191</v>
      </c>
      <c r="B208" s="25">
        <v>45551</v>
      </c>
      <c r="C208" s="26">
        <v>38697</v>
      </c>
      <c r="D208" s="27">
        <v>3.8</v>
      </c>
      <c r="E208" s="27">
        <v>3.21</v>
      </c>
      <c r="F208" s="27">
        <v>217</v>
      </c>
      <c r="G208" s="28">
        <v>5</v>
      </c>
    </row>
    <row r="209" spans="1:7" x14ac:dyDescent="0.35">
      <c r="A209" s="24" t="s">
        <v>191</v>
      </c>
      <c r="B209" s="25">
        <v>45580</v>
      </c>
      <c r="C209" s="26">
        <v>38069</v>
      </c>
      <c r="D209" s="27">
        <v>3.74</v>
      </c>
      <c r="E209" s="27">
        <v>3.25</v>
      </c>
      <c r="F209" s="27">
        <v>179</v>
      </c>
      <c r="G209" s="28">
        <v>5</v>
      </c>
    </row>
    <row r="210" spans="1:7" x14ac:dyDescent="0.35">
      <c r="A210" s="24" t="s">
        <v>191</v>
      </c>
      <c r="B210" s="25">
        <v>45587</v>
      </c>
      <c r="C210" s="26">
        <v>38069</v>
      </c>
      <c r="D210" s="27">
        <v>3.78</v>
      </c>
      <c r="E210" s="27">
        <v>3.23</v>
      </c>
      <c r="F210" s="27">
        <v>189</v>
      </c>
      <c r="G210" s="28">
        <v>5</v>
      </c>
    </row>
    <row r="211" spans="1:7" x14ac:dyDescent="0.35">
      <c r="A211" s="24" t="s">
        <v>191</v>
      </c>
      <c r="B211" s="25">
        <v>45608</v>
      </c>
      <c r="C211" s="26">
        <v>37925</v>
      </c>
      <c r="D211" s="27">
        <v>3.91</v>
      </c>
      <c r="E211" s="27">
        <v>3.29</v>
      </c>
      <c r="F211" s="27">
        <v>295</v>
      </c>
      <c r="G211" s="28">
        <v>8</v>
      </c>
    </row>
    <row r="212" spans="1:7" x14ac:dyDescent="0.35">
      <c r="A212" s="24" t="s">
        <v>191</v>
      </c>
      <c r="B212" s="25">
        <v>45614</v>
      </c>
      <c r="C212" s="26">
        <v>37925</v>
      </c>
      <c r="D212" s="27">
        <v>3.59</v>
      </c>
      <c r="E212" s="27">
        <v>3.02</v>
      </c>
      <c r="F212" s="27">
        <v>197</v>
      </c>
      <c r="G212" s="28">
        <v>6</v>
      </c>
    </row>
    <row r="213" spans="1:7" x14ac:dyDescent="0.35">
      <c r="A213" s="24" t="s">
        <v>191</v>
      </c>
      <c r="B213" s="25">
        <v>45638</v>
      </c>
      <c r="C213" s="26">
        <v>41449</v>
      </c>
      <c r="D213" s="27">
        <v>3.78</v>
      </c>
      <c r="E213" s="27">
        <v>3.25</v>
      </c>
      <c r="F213" s="27">
        <v>215</v>
      </c>
      <c r="G213" s="28">
        <v>5</v>
      </c>
    </row>
    <row r="214" spans="1:7" x14ac:dyDescent="0.35">
      <c r="A214" s="24" t="s">
        <v>191</v>
      </c>
      <c r="B214" s="25">
        <v>45652</v>
      </c>
      <c r="C214" s="26">
        <v>41449</v>
      </c>
      <c r="D214" s="27">
        <v>3.54</v>
      </c>
      <c r="E214" s="27">
        <v>3.04</v>
      </c>
      <c r="F214" s="27">
        <v>152</v>
      </c>
      <c r="G214" s="28">
        <v>5</v>
      </c>
    </row>
    <row r="215" spans="1:7" x14ac:dyDescent="0.35">
      <c r="A215" s="24" t="s">
        <v>191</v>
      </c>
      <c r="B215" s="25">
        <v>45670</v>
      </c>
      <c r="C215" s="26">
        <v>35807</v>
      </c>
      <c r="D215" s="27">
        <v>3.65</v>
      </c>
      <c r="E215" s="27">
        <v>3.25</v>
      </c>
      <c r="F215" s="27">
        <v>272</v>
      </c>
      <c r="G215" s="28">
        <v>5</v>
      </c>
    </row>
    <row r="216" spans="1:7" x14ac:dyDescent="0.35">
      <c r="A216" s="24" t="s">
        <v>191</v>
      </c>
      <c r="B216" s="25">
        <v>45674</v>
      </c>
      <c r="C216" s="26">
        <v>35807</v>
      </c>
      <c r="D216" s="27">
        <v>3.68</v>
      </c>
      <c r="E216" s="27">
        <v>3.24</v>
      </c>
      <c r="F216" s="27">
        <v>271</v>
      </c>
      <c r="G216" s="28">
        <v>5</v>
      </c>
    </row>
    <row r="217" spans="1:7" x14ac:dyDescent="0.35">
      <c r="A217" s="24" t="s">
        <v>191</v>
      </c>
      <c r="B217" s="25">
        <v>45698</v>
      </c>
      <c r="C217" s="26">
        <v>29349</v>
      </c>
      <c r="D217" s="27">
        <v>3.67</v>
      </c>
      <c r="E217" s="27">
        <v>3.34</v>
      </c>
      <c r="F217" s="27">
        <v>253</v>
      </c>
      <c r="G217" s="28">
        <v>9</v>
      </c>
    </row>
    <row r="218" spans="1:7" x14ac:dyDescent="0.35">
      <c r="A218" s="24" t="s">
        <v>191</v>
      </c>
      <c r="B218" s="25">
        <v>45701</v>
      </c>
      <c r="C218" s="26">
        <v>29349</v>
      </c>
      <c r="D218" s="27">
        <v>3.9</v>
      </c>
      <c r="E218" s="27">
        <v>3.23</v>
      </c>
      <c r="F218" s="27">
        <v>251</v>
      </c>
      <c r="G218" s="28">
        <v>5</v>
      </c>
    </row>
    <row r="219" spans="1:7" x14ac:dyDescent="0.35">
      <c r="A219" s="24" t="s">
        <v>191</v>
      </c>
      <c r="B219" s="25">
        <v>45727</v>
      </c>
      <c r="C219" s="26">
        <v>20844</v>
      </c>
      <c r="D219" s="27">
        <v>3.92</v>
      </c>
      <c r="E219" s="27">
        <v>3.36</v>
      </c>
      <c r="F219" s="27">
        <v>245</v>
      </c>
      <c r="G219" s="28">
        <v>6</v>
      </c>
    </row>
    <row r="220" spans="1:7" x14ac:dyDescent="0.35">
      <c r="A220" s="24" t="s">
        <v>191</v>
      </c>
      <c r="B220" s="25">
        <v>45730</v>
      </c>
      <c r="C220" s="26">
        <v>20844</v>
      </c>
      <c r="D220" s="27">
        <v>4.17</v>
      </c>
      <c r="E220" s="27">
        <v>3.28</v>
      </c>
      <c r="F220" s="27">
        <v>209</v>
      </c>
      <c r="G220" s="28">
        <v>5</v>
      </c>
    </row>
    <row r="221" spans="1:7" x14ac:dyDescent="0.35">
      <c r="A221" s="24" t="s">
        <v>191</v>
      </c>
      <c r="B221" s="25">
        <v>45754</v>
      </c>
      <c r="C221" s="26">
        <v>21967</v>
      </c>
      <c r="D221" s="27">
        <v>3.89</v>
      </c>
      <c r="E221" s="27">
        <v>3.28</v>
      </c>
      <c r="F221" s="27">
        <v>235</v>
      </c>
      <c r="G221" s="28">
        <v>5</v>
      </c>
    </row>
    <row r="222" spans="1:7" x14ac:dyDescent="0.35">
      <c r="A222" s="24" t="s">
        <v>191</v>
      </c>
      <c r="B222" s="25">
        <v>45762</v>
      </c>
      <c r="C222" s="26">
        <v>21967</v>
      </c>
      <c r="D222" s="27">
        <v>3.88</v>
      </c>
      <c r="E222" s="27">
        <v>3.51</v>
      </c>
      <c r="F222" s="27">
        <v>156</v>
      </c>
      <c r="G222" s="28">
        <v>5</v>
      </c>
    </row>
    <row r="223" spans="1:7" x14ac:dyDescent="0.35">
      <c r="A223" s="24" t="s">
        <v>199</v>
      </c>
      <c r="B223" s="25">
        <v>45478</v>
      </c>
      <c r="C223" s="26">
        <v>3003</v>
      </c>
      <c r="D223" s="27">
        <v>4.22</v>
      </c>
      <c r="E223" s="27">
        <v>3.69</v>
      </c>
      <c r="F223" s="27">
        <v>767</v>
      </c>
      <c r="G223" s="28">
        <v>42</v>
      </c>
    </row>
    <row r="224" spans="1:7" x14ac:dyDescent="0.35">
      <c r="A224" s="24" t="s">
        <v>199</v>
      </c>
      <c r="B224" s="25">
        <v>45488</v>
      </c>
      <c r="C224" s="26">
        <v>3003</v>
      </c>
      <c r="D224" s="27">
        <v>4.21</v>
      </c>
      <c r="E224" s="27">
        <v>3.68</v>
      </c>
      <c r="F224" s="27">
        <v>767</v>
      </c>
      <c r="G224" s="28">
        <v>78</v>
      </c>
    </row>
    <row r="225" spans="1:7" x14ac:dyDescent="0.35">
      <c r="A225" s="24" t="s">
        <v>199</v>
      </c>
      <c r="B225" s="25">
        <v>45517</v>
      </c>
      <c r="C225" s="26">
        <v>4427</v>
      </c>
      <c r="D225" s="27">
        <v>4.1500000000000004</v>
      </c>
      <c r="E225" s="27">
        <v>3.43</v>
      </c>
      <c r="F225" s="26">
        <v>800</v>
      </c>
      <c r="G225" s="28">
        <v>107</v>
      </c>
    </row>
    <row r="226" spans="1:7" x14ac:dyDescent="0.35">
      <c r="A226" s="24" t="s">
        <v>199</v>
      </c>
      <c r="B226" s="25">
        <v>45519</v>
      </c>
      <c r="C226" s="26">
        <v>4427</v>
      </c>
      <c r="D226" s="27">
        <v>4.1500000000000004</v>
      </c>
      <c r="E226" s="27">
        <v>3.44</v>
      </c>
      <c r="F226" s="27">
        <v>674</v>
      </c>
      <c r="G226" s="28">
        <v>56</v>
      </c>
    </row>
    <row r="227" spans="1:7" x14ac:dyDescent="0.35">
      <c r="A227" s="24" t="s">
        <v>199</v>
      </c>
      <c r="B227" s="25">
        <v>45544</v>
      </c>
      <c r="C227" s="26">
        <v>4065</v>
      </c>
      <c r="D227" s="27">
        <v>4.1100000000000003</v>
      </c>
      <c r="E227" s="27">
        <v>3.42</v>
      </c>
      <c r="F227" s="27">
        <v>600</v>
      </c>
      <c r="G227" s="28">
        <v>130</v>
      </c>
    </row>
    <row r="228" spans="1:7" x14ac:dyDescent="0.35">
      <c r="A228" s="24" t="s">
        <v>199</v>
      </c>
      <c r="B228" s="25">
        <v>45551</v>
      </c>
      <c r="C228" s="26">
        <v>4065</v>
      </c>
      <c r="D228" s="27">
        <v>4.04</v>
      </c>
      <c r="E228" s="27">
        <v>3.33</v>
      </c>
      <c r="F228" s="27">
        <v>560</v>
      </c>
      <c r="G228" s="28">
        <v>129</v>
      </c>
    </row>
    <row r="229" spans="1:7" x14ac:dyDescent="0.35">
      <c r="A229" s="24" t="s">
        <v>199</v>
      </c>
      <c r="B229" s="25">
        <v>45580</v>
      </c>
      <c r="C229" s="26">
        <v>3497</v>
      </c>
      <c r="D229" s="27">
        <v>3.96</v>
      </c>
      <c r="E229" s="27">
        <v>3.31</v>
      </c>
      <c r="F229" s="27">
        <v>478</v>
      </c>
      <c r="G229" s="28">
        <v>130</v>
      </c>
    </row>
    <row r="230" spans="1:7" x14ac:dyDescent="0.35">
      <c r="A230" s="24" t="s">
        <v>199</v>
      </c>
      <c r="B230" s="25">
        <v>45587</v>
      </c>
      <c r="C230" s="26">
        <v>3497</v>
      </c>
      <c r="D230" s="27">
        <v>4.17</v>
      </c>
      <c r="E230" s="27">
        <v>3.32</v>
      </c>
      <c r="F230" s="27">
        <v>510</v>
      </c>
      <c r="G230" s="28">
        <v>144</v>
      </c>
    </row>
    <row r="231" spans="1:7" x14ac:dyDescent="0.35">
      <c r="A231" s="24" t="s">
        <v>199</v>
      </c>
      <c r="B231" s="25">
        <v>45608</v>
      </c>
      <c r="C231" s="26">
        <v>3540</v>
      </c>
      <c r="D231" s="27">
        <v>3.78</v>
      </c>
      <c r="E231" s="27">
        <v>3.25</v>
      </c>
      <c r="F231" s="27">
        <v>729</v>
      </c>
      <c r="G231" s="28">
        <v>134</v>
      </c>
    </row>
    <row r="232" spans="1:7" x14ac:dyDescent="0.35">
      <c r="A232" s="24" t="s">
        <v>199</v>
      </c>
      <c r="B232" s="25">
        <v>45614</v>
      </c>
      <c r="C232" s="26">
        <v>3540</v>
      </c>
      <c r="D232" s="27">
        <v>3.72</v>
      </c>
      <c r="E232" s="27">
        <v>3.17</v>
      </c>
      <c r="F232" s="26">
        <v>800</v>
      </c>
      <c r="G232" s="28">
        <v>102</v>
      </c>
    </row>
    <row r="233" spans="1:7" x14ac:dyDescent="0.35">
      <c r="A233" s="24" t="s">
        <v>199</v>
      </c>
      <c r="B233" s="25">
        <v>45637</v>
      </c>
      <c r="C233" s="26">
        <v>4516</v>
      </c>
      <c r="D233" s="27">
        <v>3.59</v>
      </c>
      <c r="E233" s="27">
        <v>3.01</v>
      </c>
      <c r="F233" s="27">
        <v>341</v>
      </c>
      <c r="G233" s="28">
        <v>76</v>
      </c>
    </row>
    <row r="234" spans="1:7" x14ac:dyDescent="0.35">
      <c r="A234" s="24" t="s">
        <v>199</v>
      </c>
      <c r="B234" s="25">
        <v>45638</v>
      </c>
      <c r="C234" s="26">
        <v>4516</v>
      </c>
      <c r="D234" s="27">
        <v>3.64</v>
      </c>
      <c r="E234" s="27">
        <v>2.98</v>
      </c>
      <c r="F234" s="27">
        <v>304</v>
      </c>
      <c r="G234" s="28">
        <v>79</v>
      </c>
    </row>
    <row r="235" spans="1:7" x14ac:dyDescent="0.35">
      <c r="A235" s="24" t="s">
        <v>199</v>
      </c>
      <c r="B235" s="25">
        <v>45670</v>
      </c>
      <c r="C235" s="26">
        <v>4989</v>
      </c>
      <c r="D235" s="27">
        <v>3.78</v>
      </c>
      <c r="E235" s="27">
        <v>3.07</v>
      </c>
      <c r="F235" s="27">
        <v>434</v>
      </c>
      <c r="G235" s="28">
        <v>118</v>
      </c>
    </row>
    <row r="236" spans="1:7" x14ac:dyDescent="0.35">
      <c r="A236" s="24" t="s">
        <v>199</v>
      </c>
      <c r="B236" s="25">
        <v>45674</v>
      </c>
      <c r="C236" s="26">
        <v>4989</v>
      </c>
      <c r="D236" s="27">
        <v>3.74</v>
      </c>
      <c r="E236" s="27">
        <v>2.95</v>
      </c>
      <c r="F236" s="27">
        <v>434</v>
      </c>
      <c r="G236" s="28">
        <v>89</v>
      </c>
    </row>
    <row r="237" spans="1:7" x14ac:dyDescent="0.35">
      <c r="A237" s="24" t="s">
        <v>199</v>
      </c>
      <c r="B237" s="25">
        <v>45698</v>
      </c>
      <c r="C237" s="26">
        <v>4666</v>
      </c>
      <c r="D237" s="27">
        <v>3.85</v>
      </c>
      <c r="E237" s="27">
        <v>3.03</v>
      </c>
      <c r="F237" s="27">
        <v>491</v>
      </c>
      <c r="G237" s="28">
        <v>75</v>
      </c>
    </row>
    <row r="238" spans="1:7" x14ac:dyDescent="0.35">
      <c r="A238" s="24" t="s">
        <v>199</v>
      </c>
      <c r="B238" s="25">
        <v>45701</v>
      </c>
      <c r="C238" s="26">
        <v>4666</v>
      </c>
      <c r="D238" s="27">
        <v>3.75</v>
      </c>
      <c r="E238" s="27">
        <v>3.09</v>
      </c>
      <c r="F238" s="27">
        <v>422</v>
      </c>
      <c r="G238" s="28">
        <v>91</v>
      </c>
    </row>
    <row r="239" spans="1:7" x14ac:dyDescent="0.35">
      <c r="A239" s="24" t="s">
        <v>199</v>
      </c>
      <c r="B239" s="25">
        <v>45727</v>
      </c>
      <c r="C239" s="26">
        <v>5269</v>
      </c>
      <c r="D239" s="27">
        <v>3.6</v>
      </c>
      <c r="E239" s="27">
        <v>3.07</v>
      </c>
      <c r="F239" s="27">
        <v>365</v>
      </c>
      <c r="G239" s="28">
        <v>237</v>
      </c>
    </row>
    <row r="240" spans="1:7" x14ac:dyDescent="0.35">
      <c r="A240" s="24" t="s">
        <v>199</v>
      </c>
      <c r="B240" s="25">
        <v>45730</v>
      </c>
      <c r="C240" s="26">
        <v>5269</v>
      </c>
      <c r="D240" s="27">
        <v>3.72</v>
      </c>
      <c r="E240" s="27">
        <v>3.15</v>
      </c>
      <c r="F240" s="27">
        <v>450</v>
      </c>
      <c r="G240" s="28">
        <v>162</v>
      </c>
    </row>
    <row r="241" spans="1:7" x14ac:dyDescent="0.35">
      <c r="A241" s="24" t="s">
        <v>199</v>
      </c>
      <c r="B241" s="25">
        <v>45754</v>
      </c>
      <c r="C241" s="26">
        <v>5256</v>
      </c>
      <c r="D241" s="27">
        <v>3.97</v>
      </c>
      <c r="E241" s="27">
        <v>3.2</v>
      </c>
      <c r="F241" s="27">
        <v>568</v>
      </c>
      <c r="G241" s="28">
        <v>44</v>
      </c>
    </row>
    <row r="242" spans="1:7" x14ac:dyDescent="0.35">
      <c r="A242" s="24" t="s">
        <v>199</v>
      </c>
      <c r="B242" s="25">
        <v>45762</v>
      </c>
      <c r="C242" s="26">
        <v>5256</v>
      </c>
      <c r="D242" s="27">
        <v>4.1900000000000004</v>
      </c>
      <c r="E242" s="27">
        <v>3.33</v>
      </c>
      <c r="F242" s="27">
        <v>519</v>
      </c>
      <c r="G242" s="28">
        <v>55</v>
      </c>
    </row>
    <row r="243" spans="1:7" x14ac:dyDescent="0.35">
      <c r="A243" s="24" t="s">
        <v>208</v>
      </c>
      <c r="B243" s="25">
        <v>45478</v>
      </c>
      <c r="C243" s="26">
        <v>5083</v>
      </c>
      <c r="D243" s="27">
        <v>3.59</v>
      </c>
      <c r="E243" s="27">
        <v>3.49</v>
      </c>
      <c r="F243" s="27">
        <v>156</v>
      </c>
      <c r="G243" s="28">
        <v>24</v>
      </c>
    </row>
    <row r="244" spans="1:7" x14ac:dyDescent="0.35">
      <c r="A244" s="24" t="s">
        <v>208</v>
      </c>
      <c r="B244" s="25">
        <v>45488</v>
      </c>
      <c r="C244" s="26">
        <v>5083</v>
      </c>
      <c r="D244" s="27">
        <v>4.0599999999999996</v>
      </c>
      <c r="E244" s="27">
        <v>3.43</v>
      </c>
      <c r="F244" s="27">
        <v>169</v>
      </c>
      <c r="G244" s="28">
        <v>10</v>
      </c>
    </row>
    <row r="245" spans="1:7" x14ac:dyDescent="0.35">
      <c r="A245" s="24" t="s">
        <v>208</v>
      </c>
      <c r="B245" s="25">
        <v>45517</v>
      </c>
      <c r="C245" s="26">
        <v>6326</v>
      </c>
      <c r="D245" s="27">
        <v>3.68</v>
      </c>
      <c r="E245" s="27">
        <v>3.19</v>
      </c>
      <c r="F245" s="27">
        <v>158</v>
      </c>
      <c r="G245" s="28">
        <v>6</v>
      </c>
    </row>
    <row r="246" spans="1:7" x14ac:dyDescent="0.35">
      <c r="A246" s="24" t="s">
        <v>208</v>
      </c>
      <c r="B246" s="25">
        <v>45519</v>
      </c>
      <c r="C246" s="26">
        <v>6326</v>
      </c>
      <c r="D246" s="27">
        <v>3.95</v>
      </c>
      <c r="E246" s="27">
        <v>3.21</v>
      </c>
      <c r="F246" s="27">
        <v>340</v>
      </c>
      <c r="G246" s="28">
        <v>6</v>
      </c>
    </row>
    <row r="247" spans="1:7" x14ac:dyDescent="0.35">
      <c r="A247" s="24" t="s">
        <v>208</v>
      </c>
      <c r="B247" s="25">
        <v>45544</v>
      </c>
      <c r="C247" s="26">
        <v>5817</v>
      </c>
      <c r="D247" s="27">
        <v>3.91</v>
      </c>
      <c r="E247" s="27">
        <v>3.34</v>
      </c>
      <c r="F247" s="27">
        <v>208</v>
      </c>
      <c r="G247" s="28">
        <v>5</v>
      </c>
    </row>
    <row r="248" spans="1:7" x14ac:dyDescent="0.35">
      <c r="A248" s="24" t="s">
        <v>208</v>
      </c>
      <c r="B248" s="25">
        <v>45551</v>
      </c>
      <c r="C248" s="26">
        <v>5817</v>
      </c>
      <c r="D248" s="27">
        <v>3.64</v>
      </c>
      <c r="E248" s="27">
        <v>3.34</v>
      </c>
      <c r="F248" s="27">
        <v>180</v>
      </c>
      <c r="G248" s="28">
        <v>11</v>
      </c>
    </row>
    <row r="249" spans="1:7" x14ac:dyDescent="0.35">
      <c r="A249" s="24" t="s">
        <v>208</v>
      </c>
      <c r="B249" s="25">
        <v>45580</v>
      </c>
      <c r="C249" s="26">
        <v>5634</v>
      </c>
      <c r="D249" s="27">
        <v>3.92</v>
      </c>
      <c r="E249" s="27">
        <v>3.42</v>
      </c>
      <c r="F249" s="27">
        <v>289</v>
      </c>
      <c r="G249" s="28">
        <v>9</v>
      </c>
    </row>
    <row r="250" spans="1:7" x14ac:dyDescent="0.35">
      <c r="A250" s="24" t="s">
        <v>208</v>
      </c>
      <c r="B250" s="25">
        <v>45587</v>
      </c>
      <c r="C250" s="26">
        <v>5634</v>
      </c>
      <c r="D250" s="27">
        <v>4.0599999999999996</v>
      </c>
      <c r="E250" s="27">
        <v>3.34</v>
      </c>
      <c r="F250" s="27">
        <v>379</v>
      </c>
      <c r="G250" s="28">
        <v>10</v>
      </c>
    </row>
    <row r="251" spans="1:7" x14ac:dyDescent="0.35">
      <c r="A251" s="24" t="s">
        <v>208</v>
      </c>
      <c r="B251" s="25">
        <v>45608</v>
      </c>
      <c r="C251" s="26">
        <v>5333</v>
      </c>
      <c r="D251" s="27">
        <v>3.89</v>
      </c>
      <c r="E251" s="27">
        <v>3.33</v>
      </c>
      <c r="F251" s="27">
        <v>375</v>
      </c>
      <c r="G251" s="28">
        <v>9</v>
      </c>
    </row>
    <row r="252" spans="1:7" x14ac:dyDescent="0.35">
      <c r="A252" s="24" t="s">
        <v>208</v>
      </c>
      <c r="B252" s="25">
        <v>45614</v>
      </c>
      <c r="C252" s="26">
        <v>5333</v>
      </c>
      <c r="D252" s="27">
        <v>3.8</v>
      </c>
      <c r="E252" s="27">
        <v>3.34</v>
      </c>
      <c r="F252" s="27">
        <v>328</v>
      </c>
      <c r="G252" s="28">
        <v>10</v>
      </c>
    </row>
    <row r="253" spans="1:7" x14ac:dyDescent="0.35">
      <c r="A253" s="24" t="s">
        <v>208</v>
      </c>
      <c r="B253" s="25">
        <v>45637</v>
      </c>
      <c r="C253" s="26">
        <v>6534</v>
      </c>
      <c r="D253" s="27">
        <v>3.93</v>
      </c>
      <c r="E253" s="27">
        <v>3.29</v>
      </c>
      <c r="F253" s="27">
        <v>428</v>
      </c>
      <c r="G253" s="28">
        <v>9</v>
      </c>
    </row>
    <row r="254" spans="1:7" x14ac:dyDescent="0.35">
      <c r="A254" s="24" t="s">
        <v>208</v>
      </c>
      <c r="B254" s="25">
        <v>45638</v>
      </c>
      <c r="C254" s="26">
        <v>6534</v>
      </c>
      <c r="D254" s="27">
        <v>3.83</v>
      </c>
      <c r="E254" s="27">
        <v>3.3</v>
      </c>
      <c r="F254" s="27">
        <v>373</v>
      </c>
      <c r="G254" s="28">
        <v>9</v>
      </c>
    </row>
    <row r="255" spans="1:7" x14ac:dyDescent="0.35">
      <c r="A255" s="24" t="s">
        <v>208</v>
      </c>
      <c r="B255" s="25">
        <v>45670</v>
      </c>
      <c r="C255" s="26">
        <v>5727</v>
      </c>
      <c r="D255" s="27">
        <v>3.82</v>
      </c>
      <c r="E255" s="27">
        <v>3.31</v>
      </c>
      <c r="F255" s="27">
        <v>318</v>
      </c>
      <c r="G255" s="28">
        <v>9</v>
      </c>
    </row>
    <row r="256" spans="1:7" x14ac:dyDescent="0.35">
      <c r="A256" s="24" t="s">
        <v>208</v>
      </c>
      <c r="B256" s="25">
        <v>45674</v>
      </c>
      <c r="C256" s="26">
        <v>5727</v>
      </c>
      <c r="D256" s="27">
        <v>3.98</v>
      </c>
      <c r="E256" s="27">
        <v>3.34</v>
      </c>
      <c r="F256" s="27">
        <v>480</v>
      </c>
      <c r="G256" s="28">
        <v>9</v>
      </c>
    </row>
    <row r="257" spans="1:7" x14ac:dyDescent="0.35">
      <c r="A257" s="24" t="s">
        <v>208</v>
      </c>
      <c r="B257" s="25">
        <v>45698</v>
      </c>
      <c r="C257" s="26">
        <v>4860</v>
      </c>
      <c r="D257" s="27">
        <v>3.6</v>
      </c>
      <c r="E257" s="27">
        <v>3.31</v>
      </c>
      <c r="F257" s="27">
        <v>481</v>
      </c>
      <c r="G257" s="28">
        <v>8</v>
      </c>
    </row>
    <row r="258" spans="1:7" x14ac:dyDescent="0.35">
      <c r="A258" s="24" t="s">
        <v>208</v>
      </c>
      <c r="B258" s="25">
        <v>45701</v>
      </c>
      <c r="C258" s="26">
        <v>4860</v>
      </c>
      <c r="D258" s="27">
        <v>3.6</v>
      </c>
      <c r="E258" s="27">
        <v>3.16</v>
      </c>
      <c r="F258" s="27">
        <v>422</v>
      </c>
      <c r="G258" s="28">
        <v>9</v>
      </c>
    </row>
    <row r="259" spans="1:7" x14ac:dyDescent="0.35">
      <c r="A259" s="24" t="s">
        <v>208</v>
      </c>
      <c r="B259" s="25">
        <v>45727</v>
      </c>
      <c r="C259" s="26">
        <v>5403</v>
      </c>
      <c r="D259" s="27">
        <v>3.81</v>
      </c>
      <c r="E259" s="27">
        <v>3.26</v>
      </c>
      <c r="F259" s="27">
        <v>702</v>
      </c>
      <c r="G259" s="28">
        <v>12</v>
      </c>
    </row>
    <row r="260" spans="1:7" x14ac:dyDescent="0.35">
      <c r="A260" s="24" t="s">
        <v>208</v>
      </c>
      <c r="B260" s="25">
        <v>45730</v>
      </c>
      <c r="C260" s="26">
        <v>5403</v>
      </c>
      <c r="D260" s="27">
        <v>3.86</v>
      </c>
      <c r="E260" s="27">
        <v>3.18</v>
      </c>
      <c r="F260" s="27">
        <v>788</v>
      </c>
      <c r="G260" s="28">
        <v>25</v>
      </c>
    </row>
    <row r="261" spans="1:7" x14ac:dyDescent="0.35">
      <c r="A261" s="24" t="s">
        <v>208</v>
      </c>
      <c r="B261" s="25">
        <v>45754</v>
      </c>
      <c r="C261" s="26">
        <v>4738</v>
      </c>
      <c r="D261" s="27">
        <v>3.78</v>
      </c>
      <c r="E261" s="27">
        <v>3.15</v>
      </c>
      <c r="F261" s="27">
        <v>733</v>
      </c>
      <c r="G261" s="28">
        <v>15</v>
      </c>
    </row>
    <row r="262" spans="1:7" x14ac:dyDescent="0.35">
      <c r="A262" s="24" t="s">
        <v>208</v>
      </c>
      <c r="B262" s="25">
        <v>45762</v>
      </c>
      <c r="C262" s="26">
        <v>4738</v>
      </c>
      <c r="D262" s="27">
        <v>4.1399999999999997</v>
      </c>
      <c r="E262" s="27">
        <v>3.32</v>
      </c>
      <c r="F262" s="27">
        <v>542</v>
      </c>
      <c r="G262" s="28">
        <v>22</v>
      </c>
    </row>
    <row r="263" spans="1:7" x14ac:dyDescent="0.35">
      <c r="A263" s="24" t="s">
        <v>214</v>
      </c>
      <c r="B263" s="25">
        <v>45478</v>
      </c>
      <c r="C263" s="26">
        <v>19217</v>
      </c>
      <c r="D263" s="27">
        <v>4.3499999999999996</v>
      </c>
      <c r="E263" s="27">
        <v>3.49</v>
      </c>
      <c r="F263" s="27">
        <v>545</v>
      </c>
      <c r="G263" s="28">
        <v>8</v>
      </c>
    </row>
    <row r="264" spans="1:7" x14ac:dyDescent="0.35">
      <c r="A264" s="24" t="s">
        <v>214</v>
      </c>
      <c r="B264" s="25">
        <v>45488</v>
      </c>
      <c r="C264" s="26">
        <v>19217</v>
      </c>
      <c r="D264" s="27">
        <v>4.3499999999999996</v>
      </c>
      <c r="E264" s="27">
        <v>3.5</v>
      </c>
      <c r="F264" s="27">
        <v>521</v>
      </c>
      <c r="G264" s="28">
        <v>11</v>
      </c>
    </row>
    <row r="265" spans="1:7" x14ac:dyDescent="0.35">
      <c r="A265" s="24" t="s">
        <v>214</v>
      </c>
      <c r="B265" s="25">
        <v>45517</v>
      </c>
      <c r="C265" s="26">
        <v>20283</v>
      </c>
      <c r="D265" s="27">
        <v>4.08</v>
      </c>
      <c r="E265" s="27">
        <v>3.22</v>
      </c>
      <c r="F265" s="27">
        <v>380</v>
      </c>
      <c r="G265" s="28">
        <v>32</v>
      </c>
    </row>
    <row r="266" spans="1:7" x14ac:dyDescent="0.35">
      <c r="A266" s="24" t="s">
        <v>214</v>
      </c>
      <c r="B266" s="25">
        <v>45519</v>
      </c>
      <c r="C266" s="26">
        <v>20283</v>
      </c>
      <c r="D266" s="27">
        <v>4.0599999999999996</v>
      </c>
      <c r="E266" s="27">
        <v>3.36</v>
      </c>
      <c r="F266" s="27">
        <v>291</v>
      </c>
      <c r="G266" s="28">
        <v>5</v>
      </c>
    </row>
    <row r="267" spans="1:7" x14ac:dyDescent="0.35">
      <c r="A267" s="24" t="s">
        <v>214</v>
      </c>
      <c r="B267" s="25">
        <v>45544</v>
      </c>
      <c r="C267" s="26">
        <v>15565</v>
      </c>
      <c r="D267" s="27">
        <v>4.0999999999999996</v>
      </c>
      <c r="E267" s="27">
        <v>3.33</v>
      </c>
      <c r="F267" s="27">
        <v>255</v>
      </c>
      <c r="G267" s="28">
        <v>5</v>
      </c>
    </row>
    <row r="268" spans="1:7" x14ac:dyDescent="0.35">
      <c r="A268" s="24" t="s">
        <v>214</v>
      </c>
      <c r="B268" s="25">
        <v>45551</v>
      </c>
      <c r="C268" s="26">
        <v>15565</v>
      </c>
      <c r="D268" s="27">
        <v>4.08</v>
      </c>
      <c r="E268" s="27">
        <v>3.13</v>
      </c>
      <c r="F268" s="27">
        <v>365</v>
      </c>
      <c r="G268" s="28">
        <v>5</v>
      </c>
    </row>
    <row r="269" spans="1:7" x14ac:dyDescent="0.35">
      <c r="A269" s="24" t="s">
        <v>214</v>
      </c>
      <c r="B269" s="25">
        <v>45580</v>
      </c>
      <c r="C269" s="26">
        <v>18043</v>
      </c>
      <c r="D269" s="27">
        <v>3.97</v>
      </c>
      <c r="E269" s="27">
        <v>3.22</v>
      </c>
      <c r="F269" s="27">
        <v>488</v>
      </c>
      <c r="G269" s="28">
        <v>9</v>
      </c>
    </row>
    <row r="270" spans="1:7" x14ac:dyDescent="0.35">
      <c r="A270" s="24" t="s">
        <v>214</v>
      </c>
      <c r="B270" s="25">
        <v>45587</v>
      </c>
      <c r="C270" s="26">
        <v>18043</v>
      </c>
      <c r="D270" s="27">
        <v>3.87</v>
      </c>
      <c r="E270" s="27">
        <v>3.19</v>
      </c>
      <c r="F270" s="27">
        <v>409</v>
      </c>
      <c r="G270" s="28">
        <v>26</v>
      </c>
    </row>
    <row r="271" spans="1:7" x14ac:dyDescent="0.35">
      <c r="A271" s="24" t="s">
        <v>214</v>
      </c>
      <c r="B271" s="25">
        <v>45608</v>
      </c>
      <c r="C271" s="26">
        <v>16940</v>
      </c>
      <c r="D271" s="27">
        <v>3.99</v>
      </c>
      <c r="E271" s="27">
        <v>3.31</v>
      </c>
      <c r="F271" s="27">
        <v>619</v>
      </c>
      <c r="G271" s="28">
        <v>8</v>
      </c>
    </row>
    <row r="272" spans="1:7" x14ac:dyDescent="0.35">
      <c r="A272" s="24" t="s">
        <v>214</v>
      </c>
      <c r="B272" s="25">
        <v>45614</v>
      </c>
      <c r="C272" s="26">
        <v>16940</v>
      </c>
      <c r="D272" s="27">
        <v>4.04</v>
      </c>
      <c r="E272" s="27">
        <v>3.29</v>
      </c>
      <c r="F272" s="27">
        <v>494</v>
      </c>
      <c r="G272" s="28">
        <v>9</v>
      </c>
    </row>
    <row r="273" spans="1:7" x14ac:dyDescent="0.35">
      <c r="A273" s="24" t="s">
        <v>214</v>
      </c>
      <c r="B273" s="25">
        <v>45637</v>
      </c>
      <c r="C273" s="26">
        <v>16368</v>
      </c>
      <c r="D273" s="27">
        <v>4.07</v>
      </c>
      <c r="E273" s="27">
        <v>3.28</v>
      </c>
      <c r="F273" s="27">
        <v>628</v>
      </c>
      <c r="G273" s="28">
        <v>9</v>
      </c>
    </row>
    <row r="274" spans="1:7" x14ac:dyDescent="0.35">
      <c r="A274" s="24" t="s">
        <v>214</v>
      </c>
      <c r="B274" s="25">
        <v>45638</v>
      </c>
      <c r="C274" s="26">
        <v>16368</v>
      </c>
      <c r="D274" s="27">
        <v>4.25</v>
      </c>
      <c r="E274" s="27">
        <v>3.32</v>
      </c>
      <c r="F274" s="26">
        <v>800</v>
      </c>
      <c r="G274" s="28">
        <v>11</v>
      </c>
    </row>
    <row r="275" spans="1:7" x14ac:dyDescent="0.35">
      <c r="A275" s="24" t="s">
        <v>214</v>
      </c>
      <c r="B275" s="25">
        <v>45670</v>
      </c>
      <c r="C275" s="26">
        <v>17280</v>
      </c>
      <c r="D275" s="27">
        <v>4.26</v>
      </c>
      <c r="E275" s="27">
        <v>3.25</v>
      </c>
      <c r="F275" s="27">
        <v>473</v>
      </c>
      <c r="G275" s="28">
        <v>13</v>
      </c>
    </row>
    <row r="276" spans="1:7" x14ac:dyDescent="0.35">
      <c r="A276" s="24" t="s">
        <v>214</v>
      </c>
      <c r="B276" s="25">
        <v>45674</v>
      </c>
      <c r="C276" s="26">
        <v>17280</v>
      </c>
      <c r="D276" s="27">
        <v>3.97</v>
      </c>
      <c r="E276" s="27">
        <v>3.33</v>
      </c>
      <c r="F276" s="27">
        <v>547</v>
      </c>
      <c r="G276" s="28">
        <v>9</v>
      </c>
    </row>
    <row r="277" spans="1:7" x14ac:dyDescent="0.35">
      <c r="A277" s="24" t="s">
        <v>214</v>
      </c>
      <c r="B277" s="25">
        <v>45698</v>
      </c>
      <c r="C277" s="26">
        <v>15669</v>
      </c>
      <c r="D277" s="27">
        <v>4.03</v>
      </c>
      <c r="E277" s="27">
        <v>3.41</v>
      </c>
      <c r="F277" s="27">
        <v>631</v>
      </c>
      <c r="G277" s="28">
        <v>5</v>
      </c>
    </row>
    <row r="278" spans="1:7" x14ac:dyDescent="0.35">
      <c r="A278" s="24" t="s">
        <v>214</v>
      </c>
      <c r="B278" s="25">
        <v>45701</v>
      </c>
      <c r="C278" s="26">
        <v>15669</v>
      </c>
      <c r="D278" s="27">
        <v>4.03</v>
      </c>
      <c r="E278" s="27">
        <v>3.33</v>
      </c>
      <c r="F278" s="27">
        <v>487</v>
      </c>
      <c r="G278" s="28">
        <v>5</v>
      </c>
    </row>
    <row r="279" spans="1:7" x14ac:dyDescent="0.35">
      <c r="A279" s="24" t="s">
        <v>214</v>
      </c>
      <c r="B279" s="25">
        <v>45730</v>
      </c>
      <c r="C279" s="26">
        <v>16777</v>
      </c>
      <c r="D279" s="27">
        <v>4.0999999999999996</v>
      </c>
      <c r="E279" s="27">
        <v>3.3</v>
      </c>
      <c r="F279" s="27">
        <v>387</v>
      </c>
      <c r="G279" s="28">
        <v>6</v>
      </c>
    </row>
    <row r="280" spans="1:7" x14ac:dyDescent="0.35">
      <c r="A280" s="24" t="s">
        <v>214</v>
      </c>
      <c r="B280" s="25">
        <v>45743</v>
      </c>
      <c r="C280" s="26">
        <v>16777</v>
      </c>
      <c r="D280" s="27">
        <v>3.98</v>
      </c>
      <c r="E280" s="27">
        <v>3.29</v>
      </c>
      <c r="F280" s="27">
        <v>324</v>
      </c>
      <c r="G280" s="28">
        <v>6</v>
      </c>
    </row>
    <row r="281" spans="1:7" x14ac:dyDescent="0.35">
      <c r="A281" s="24" t="s">
        <v>214</v>
      </c>
      <c r="B281" s="25">
        <v>45754</v>
      </c>
      <c r="C281" s="26">
        <v>14872</v>
      </c>
      <c r="D281" s="27">
        <v>4.16</v>
      </c>
      <c r="E281" s="27">
        <v>3.24</v>
      </c>
      <c r="F281" s="27">
        <v>310</v>
      </c>
      <c r="G281" s="28">
        <v>5</v>
      </c>
    </row>
    <row r="282" spans="1:7" x14ac:dyDescent="0.35">
      <c r="A282" s="24" t="s">
        <v>214</v>
      </c>
      <c r="B282" s="25">
        <v>45758</v>
      </c>
      <c r="C282" s="26">
        <v>14872</v>
      </c>
      <c r="D282" s="27">
        <v>4.3600000000000003</v>
      </c>
      <c r="E282" s="27">
        <v>3.34</v>
      </c>
      <c r="F282" s="27">
        <v>532</v>
      </c>
      <c r="G282" s="28">
        <v>6</v>
      </c>
    </row>
    <row r="283" spans="1:7" x14ac:dyDescent="0.35">
      <c r="A283" s="24" t="s">
        <v>218</v>
      </c>
      <c r="B283" s="25">
        <v>45478</v>
      </c>
      <c r="C283" s="26">
        <v>12167</v>
      </c>
      <c r="D283" s="27">
        <v>3.89</v>
      </c>
      <c r="E283" s="27">
        <v>3.72</v>
      </c>
      <c r="F283" s="27">
        <v>500</v>
      </c>
      <c r="G283" s="28">
        <v>152</v>
      </c>
    </row>
    <row r="284" spans="1:7" x14ac:dyDescent="0.35">
      <c r="A284" s="24" t="s">
        <v>218</v>
      </c>
      <c r="B284" s="25">
        <v>45488</v>
      </c>
      <c r="C284" s="26">
        <v>12167</v>
      </c>
      <c r="D284" s="27">
        <v>3.85</v>
      </c>
      <c r="E284" s="27">
        <v>3.7</v>
      </c>
      <c r="F284" s="27">
        <v>429</v>
      </c>
      <c r="G284" s="28">
        <v>151</v>
      </c>
    </row>
    <row r="285" spans="1:7" x14ac:dyDescent="0.35">
      <c r="A285" s="24" t="s">
        <v>218</v>
      </c>
      <c r="B285" s="25">
        <v>45517</v>
      </c>
      <c r="C285" s="26">
        <v>13245</v>
      </c>
      <c r="D285" s="27">
        <v>3.77</v>
      </c>
      <c r="E285" s="27">
        <v>3.58</v>
      </c>
      <c r="F285" s="27">
        <v>444</v>
      </c>
      <c r="G285" s="28">
        <v>100</v>
      </c>
    </row>
    <row r="286" spans="1:7" x14ac:dyDescent="0.35">
      <c r="A286" s="24" t="s">
        <v>218</v>
      </c>
      <c r="B286" s="25">
        <v>45519</v>
      </c>
      <c r="C286" s="26">
        <v>13245</v>
      </c>
      <c r="D286" s="27">
        <v>3.88</v>
      </c>
      <c r="E286" s="27">
        <v>3.58</v>
      </c>
      <c r="F286" s="27">
        <v>336</v>
      </c>
      <c r="G286" s="28">
        <v>72</v>
      </c>
    </row>
    <row r="287" spans="1:7" x14ac:dyDescent="0.35">
      <c r="A287" s="24" t="s">
        <v>218</v>
      </c>
      <c r="B287" s="25">
        <v>45544</v>
      </c>
      <c r="C287" s="26">
        <v>11189</v>
      </c>
      <c r="D287" s="27">
        <v>3.87</v>
      </c>
      <c r="E287" s="27">
        <v>3.51</v>
      </c>
      <c r="F287" s="27">
        <v>469</v>
      </c>
      <c r="G287" s="28">
        <v>131</v>
      </c>
    </row>
    <row r="288" spans="1:7" x14ac:dyDescent="0.35">
      <c r="A288" s="24" t="s">
        <v>218</v>
      </c>
      <c r="B288" s="25">
        <v>45551</v>
      </c>
      <c r="C288" s="26">
        <v>11189</v>
      </c>
      <c r="D288" s="27">
        <v>3.54</v>
      </c>
      <c r="E288" s="27">
        <v>3.47</v>
      </c>
      <c r="F288" s="27">
        <v>334</v>
      </c>
      <c r="G288" s="28">
        <v>156</v>
      </c>
    </row>
    <row r="289" spans="1:7" x14ac:dyDescent="0.35">
      <c r="A289" s="24" t="s">
        <v>218</v>
      </c>
      <c r="B289" s="25">
        <v>45580</v>
      </c>
      <c r="C289" s="26">
        <v>9979</v>
      </c>
      <c r="D289" s="27">
        <v>3.86</v>
      </c>
      <c r="E289" s="27">
        <v>3.5</v>
      </c>
      <c r="F289" s="27">
        <v>510</v>
      </c>
      <c r="G289" s="28">
        <v>124</v>
      </c>
    </row>
    <row r="290" spans="1:7" x14ac:dyDescent="0.35">
      <c r="A290" s="24" t="s">
        <v>218</v>
      </c>
      <c r="B290" s="25">
        <v>45587</v>
      </c>
      <c r="C290" s="26">
        <v>9979</v>
      </c>
      <c r="D290" s="27">
        <v>3.69</v>
      </c>
      <c r="E290" s="27">
        <v>3.42</v>
      </c>
      <c r="F290" s="27">
        <v>305</v>
      </c>
      <c r="G290" s="28">
        <v>165</v>
      </c>
    </row>
    <row r="291" spans="1:7" x14ac:dyDescent="0.35">
      <c r="A291" s="24" t="s">
        <v>218</v>
      </c>
      <c r="B291" s="25">
        <v>45608</v>
      </c>
      <c r="C291" s="26">
        <v>10712</v>
      </c>
      <c r="D291" s="27">
        <v>3.84</v>
      </c>
      <c r="E291" s="27">
        <v>3.42</v>
      </c>
      <c r="F291" s="27">
        <v>606</v>
      </c>
      <c r="G291" s="28">
        <v>157</v>
      </c>
    </row>
    <row r="292" spans="1:7" x14ac:dyDescent="0.35">
      <c r="A292" s="24" t="s">
        <v>218</v>
      </c>
      <c r="B292" s="25">
        <v>45614</v>
      </c>
      <c r="C292" s="26">
        <v>10712</v>
      </c>
      <c r="D292" s="27">
        <v>3.72</v>
      </c>
      <c r="E292" s="27">
        <v>3.37</v>
      </c>
      <c r="F292" s="27">
        <v>774</v>
      </c>
      <c r="G292" s="28">
        <v>77</v>
      </c>
    </row>
    <row r="293" spans="1:7" x14ac:dyDescent="0.35">
      <c r="A293" s="24" t="s">
        <v>218</v>
      </c>
      <c r="B293" s="25">
        <v>45638</v>
      </c>
      <c r="C293" s="26">
        <v>9966</v>
      </c>
      <c r="D293" s="27">
        <v>3.66</v>
      </c>
      <c r="E293" s="27">
        <v>3.33</v>
      </c>
      <c r="F293" s="27">
        <v>181</v>
      </c>
      <c r="G293" s="28">
        <v>203</v>
      </c>
    </row>
    <row r="294" spans="1:7" x14ac:dyDescent="0.35">
      <c r="A294" s="24" t="s">
        <v>218</v>
      </c>
      <c r="B294" s="25">
        <v>45652</v>
      </c>
      <c r="C294" s="26">
        <v>9966</v>
      </c>
      <c r="D294" s="27">
        <v>3.56</v>
      </c>
      <c r="E294" s="27">
        <v>3.31</v>
      </c>
      <c r="F294" s="27">
        <v>627</v>
      </c>
      <c r="G294" s="28">
        <v>160</v>
      </c>
    </row>
    <row r="295" spans="1:7" x14ac:dyDescent="0.35">
      <c r="A295" s="24" t="s">
        <v>218</v>
      </c>
      <c r="B295" s="25">
        <v>45670</v>
      </c>
      <c r="C295" s="26">
        <v>9320</v>
      </c>
      <c r="D295" s="27">
        <v>3.71</v>
      </c>
      <c r="E295" s="27">
        <v>3.33</v>
      </c>
      <c r="F295" s="27">
        <v>385</v>
      </c>
      <c r="G295" s="28">
        <v>120</v>
      </c>
    </row>
    <row r="296" spans="1:7" x14ac:dyDescent="0.35">
      <c r="A296" s="24" t="s">
        <v>218</v>
      </c>
      <c r="B296" s="25">
        <v>45674</v>
      </c>
      <c r="C296" s="26">
        <v>9320</v>
      </c>
      <c r="D296" s="27">
        <v>3.66</v>
      </c>
      <c r="E296" s="27">
        <v>3.34</v>
      </c>
      <c r="F296" s="27">
        <v>424</v>
      </c>
      <c r="G296" s="28">
        <v>67</v>
      </c>
    </row>
    <row r="297" spans="1:7" x14ac:dyDescent="0.35">
      <c r="A297" s="24" t="s">
        <v>218</v>
      </c>
      <c r="B297" s="25">
        <v>45698</v>
      </c>
      <c r="C297" s="26">
        <v>8239</v>
      </c>
      <c r="D297" s="27">
        <v>3.82</v>
      </c>
      <c r="E297" s="27">
        <v>3.52</v>
      </c>
      <c r="F297" s="27">
        <v>331</v>
      </c>
      <c r="G297" s="28">
        <v>206</v>
      </c>
    </row>
    <row r="298" spans="1:7" x14ac:dyDescent="0.35">
      <c r="A298" s="24" t="s">
        <v>218</v>
      </c>
      <c r="B298" s="25">
        <v>45701</v>
      </c>
      <c r="C298" s="26">
        <v>8239</v>
      </c>
      <c r="D298" s="27">
        <v>3.86</v>
      </c>
      <c r="E298" s="27">
        <v>3.5</v>
      </c>
      <c r="F298" s="27">
        <v>391</v>
      </c>
      <c r="G298" s="28">
        <v>274</v>
      </c>
    </row>
    <row r="299" spans="1:7" x14ac:dyDescent="0.35">
      <c r="A299" s="24" t="s">
        <v>218</v>
      </c>
      <c r="B299" s="25">
        <v>45727</v>
      </c>
      <c r="C299" s="26">
        <v>7044</v>
      </c>
      <c r="D299" s="27">
        <v>3.78</v>
      </c>
      <c r="E299" s="27">
        <v>3.57</v>
      </c>
      <c r="F299" s="27">
        <v>592</v>
      </c>
      <c r="G299" s="28">
        <v>89</v>
      </c>
    </row>
    <row r="300" spans="1:7" x14ac:dyDescent="0.35">
      <c r="A300" s="24" t="s">
        <v>218</v>
      </c>
      <c r="B300" s="25">
        <v>45730</v>
      </c>
      <c r="C300" s="26">
        <v>7044</v>
      </c>
      <c r="D300" s="27">
        <v>3.66</v>
      </c>
      <c r="E300" s="27">
        <v>3.59</v>
      </c>
      <c r="F300" s="27">
        <v>611</v>
      </c>
      <c r="G300" s="28">
        <v>225</v>
      </c>
    </row>
    <row r="301" spans="1:7" x14ac:dyDescent="0.35">
      <c r="A301" s="24" t="s">
        <v>218</v>
      </c>
      <c r="B301" s="25">
        <v>45754</v>
      </c>
      <c r="C301" s="26">
        <v>5209</v>
      </c>
      <c r="D301" s="27">
        <v>3.99</v>
      </c>
      <c r="E301" s="27">
        <v>3.63</v>
      </c>
      <c r="F301" s="27">
        <v>484</v>
      </c>
      <c r="G301" s="28">
        <v>121</v>
      </c>
    </row>
    <row r="302" spans="1:7" x14ac:dyDescent="0.35">
      <c r="A302" s="24" t="s">
        <v>218</v>
      </c>
      <c r="B302" s="25">
        <v>45762</v>
      </c>
      <c r="C302" s="26">
        <v>5209</v>
      </c>
      <c r="D302" s="27">
        <v>3.87</v>
      </c>
      <c r="E302" s="27">
        <v>3.77</v>
      </c>
      <c r="F302" s="27">
        <v>559</v>
      </c>
      <c r="G302" s="28">
        <v>118</v>
      </c>
    </row>
    <row r="303" spans="1:7" x14ac:dyDescent="0.35">
      <c r="A303" s="24" t="s">
        <v>223</v>
      </c>
      <c r="B303" s="25">
        <v>45478</v>
      </c>
      <c r="C303" s="26">
        <v>23936</v>
      </c>
      <c r="D303" s="27">
        <v>4.0199999999999996</v>
      </c>
      <c r="E303" s="27">
        <v>3.38</v>
      </c>
      <c r="F303" s="27">
        <v>355</v>
      </c>
      <c r="G303" s="28">
        <v>10</v>
      </c>
    </row>
    <row r="304" spans="1:7" x14ac:dyDescent="0.35">
      <c r="A304" s="24" t="s">
        <v>223</v>
      </c>
      <c r="B304" s="25">
        <v>45488</v>
      </c>
      <c r="C304" s="26">
        <v>23936</v>
      </c>
      <c r="D304" s="27">
        <v>4</v>
      </c>
      <c r="E304" s="27">
        <v>3.46</v>
      </c>
      <c r="F304" s="27">
        <v>234</v>
      </c>
      <c r="G304" s="28">
        <v>7</v>
      </c>
    </row>
    <row r="305" spans="1:7" x14ac:dyDescent="0.35">
      <c r="A305" s="24" t="s">
        <v>223</v>
      </c>
      <c r="B305" s="25">
        <v>45517</v>
      </c>
      <c r="C305" s="26">
        <v>24623</v>
      </c>
      <c r="D305" s="27">
        <v>3.94</v>
      </c>
      <c r="E305" s="27">
        <v>3.37</v>
      </c>
      <c r="F305" s="27">
        <v>331</v>
      </c>
      <c r="G305" s="28">
        <v>9</v>
      </c>
    </row>
    <row r="306" spans="1:7" x14ac:dyDescent="0.35">
      <c r="A306" s="24" t="s">
        <v>223</v>
      </c>
      <c r="B306" s="25">
        <v>45519</v>
      </c>
      <c r="C306" s="26">
        <v>24623</v>
      </c>
      <c r="D306" s="27">
        <v>4.08</v>
      </c>
      <c r="E306" s="27">
        <v>3.44</v>
      </c>
      <c r="F306" s="27">
        <v>292</v>
      </c>
      <c r="G306" s="28">
        <v>21</v>
      </c>
    </row>
    <row r="307" spans="1:7" x14ac:dyDescent="0.35">
      <c r="A307" s="24" t="s">
        <v>223</v>
      </c>
      <c r="B307" s="25">
        <v>45544</v>
      </c>
      <c r="C307" s="26">
        <v>25789</v>
      </c>
      <c r="D307" s="27">
        <v>3.88</v>
      </c>
      <c r="E307" s="27">
        <v>3.41</v>
      </c>
      <c r="F307" s="27">
        <v>214</v>
      </c>
      <c r="G307" s="28">
        <v>20</v>
      </c>
    </row>
    <row r="308" spans="1:7" x14ac:dyDescent="0.35">
      <c r="A308" s="24" t="s">
        <v>223</v>
      </c>
      <c r="B308" s="25">
        <v>45551</v>
      </c>
      <c r="C308" s="26">
        <v>25789</v>
      </c>
      <c r="D308" s="27">
        <v>3.73</v>
      </c>
      <c r="E308" s="27">
        <v>3.28</v>
      </c>
      <c r="F308" s="27">
        <v>207</v>
      </c>
      <c r="G308" s="28">
        <v>57</v>
      </c>
    </row>
    <row r="309" spans="1:7" x14ac:dyDescent="0.35">
      <c r="A309" s="24" t="s">
        <v>223</v>
      </c>
      <c r="B309" s="25">
        <v>45580</v>
      </c>
      <c r="C309" s="26">
        <v>26537</v>
      </c>
      <c r="D309" s="27">
        <v>3.8</v>
      </c>
      <c r="E309" s="27">
        <v>3.32</v>
      </c>
      <c r="F309" s="27">
        <v>122</v>
      </c>
      <c r="G309" s="28">
        <v>14</v>
      </c>
    </row>
    <row r="310" spans="1:7" x14ac:dyDescent="0.35">
      <c r="A310" s="24" t="s">
        <v>223</v>
      </c>
      <c r="B310" s="25">
        <v>45587</v>
      </c>
      <c r="C310" s="26">
        <v>26537</v>
      </c>
      <c r="D310" s="27">
        <v>3.82</v>
      </c>
      <c r="E310" s="27">
        <v>3.27</v>
      </c>
      <c r="F310" s="27">
        <v>243</v>
      </c>
      <c r="G310" s="28">
        <v>15</v>
      </c>
    </row>
    <row r="311" spans="1:7" x14ac:dyDescent="0.35">
      <c r="A311" s="24" t="s">
        <v>223</v>
      </c>
      <c r="B311" s="25">
        <v>45608</v>
      </c>
      <c r="C311" s="26">
        <v>23913</v>
      </c>
      <c r="D311" s="27">
        <v>4</v>
      </c>
      <c r="E311" s="27">
        <v>3.33</v>
      </c>
      <c r="F311" s="27">
        <v>174</v>
      </c>
      <c r="G311" s="28">
        <v>12</v>
      </c>
    </row>
    <row r="312" spans="1:7" x14ac:dyDescent="0.35">
      <c r="A312" s="24" t="s">
        <v>223</v>
      </c>
      <c r="B312" s="25">
        <v>45614</v>
      </c>
      <c r="C312" s="26">
        <v>23913</v>
      </c>
      <c r="D312" s="27">
        <v>3.97</v>
      </c>
      <c r="E312" s="27">
        <v>3.26</v>
      </c>
      <c r="F312" s="27">
        <v>143</v>
      </c>
      <c r="G312" s="28">
        <v>16</v>
      </c>
    </row>
    <row r="313" spans="1:7" x14ac:dyDescent="0.35">
      <c r="A313" s="24" t="s">
        <v>223</v>
      </c>
      <c r="B313" s="25">
        <v>45637</v>
      </c>
      <c r="C313" s="26">
        <v>22657</v>
      </c>
      <c r="D313" s="27">
        <v>3.83</v>
      </c>
      <c r="E313" s="27">
        <v>3.27</v>
      </c>
      <c r="F313" s="27">
        <v>367</v>
      </c>
      <c r="G313" s="28">
        <v>12</v>
      </c>
    </row>
    <row r="314" spans="1:7" x14ac:dyDescent="0.35">
      <c r="A314" s="24" t="s">
        <v>223</v>
      </c>
      <c r="B314" s="25">
        <v>45638</v>
      </c>
      <c r="C314" s="26">
        <v>22657</v>
      </c>
      <c r="D314" s="27">
        <v>3.97</v>
      </c>
      <c r="E314" s="27">
        <v>3.39</v>
      </c>
      <c r="F314" s="27">
        <v>226</v>
      </c>
      <c r="G314" s="28">
        <v>8</v>
      </c>
    </row>
    <row r="315" spans="1:7" x14ac:dyDescent="0.35">
      <c r="A315" s="24" t="s">
        <v>223</v>
      </c>
      <c r="B315" s="25">
        <v>45670</v>
      </c>
      <c r="C315" s="26">
        <v>19556</v>
      </c>
      <c r="D315" s="27">
        <v>4.0199999999999996</v>
      </c>
      <c r="E315" s="27">
        <v>3.26</v>
      </c>
      <c r="F315" s="27">
        <v>238</v>
      </c>
      <c r="G315" s="28">
        <v>11</v>
      </c>
    </row>
    <row r="316" spans="1:7" x14ac:dyDescent="0.35">
      <c r="A316" s="24" t="s">
        <v>223</v>
      </c>
      <c r="B316" s="25">
        <v>45674</v>
      </c>
      <c r="C316" s="26">
        <v>19556</v>
      </c>
      <c r="D316" s="27">
        <v>3.93</v>
      </c>
      <c r="E316" s="27">
        <v>3.32</v>
      </c>
      <c r="F316" s="27">
        <v>226</v>
      </c>
      <c r="G316" s="28">
        <v>43</v>
      </c>
    </row>
    <row r="317" spans="1:7" x14ac:dyDescent="0.35">
      <c r="A317" s="24" t="s">
        <v>223</v>
      </c>
      <c r="B317" s="25">
        <v>45698</v>
      </c>
      <c r="C317" s="26">
        <v>15440</v>
      </c>
      <c r="D317" s="27">
        <v>4.01</v>
      </c>
      <c r="E317" s="27">
        <v>3.42</v>
      </c>
      <c r="F317" s="27">
        <v>354</v>
      </c>
      <c r="G317" s="28">
        <v>87</v>
      </c>
    </row>
    <row r="318" spans="1:7" x14ac:dyDescent="0.35">
      <c r="A318" s="24" t="s">
        <v>223</v>
      </c>
      <c r="B318" s="25">
        <v>45701</v>
      </c>
      <c r="C318" s="26">
        <v>15440</v>
      </c>
      <c r="D318" s="27">
        <v>4</v>
      </c>
      <c r="E318" s="27">
        <v>3.35</v>
      </c>
      <c r="F318" s="27">
        <v>300</v>
      </c>
      <c r="G318" s="28">
        <v>94</v>
      </c>
    </row>
    <row r="319" spans="1:7" x14ac:dyDescent="0.35">
      <c r="A319" s="24" t="s">
        <v>223</v>
      </c>
      <c r="B319" s="25">
        <v>45727</v>
      </c>
      <c r="C319" s="26">
        <v>19537</v>
      </c>
      <c r="D319" s="27">
        <v>3.86</v>
      </c>
      <c r="E319" s="27">
        <v>3.33</v>
      </c>
      <c r="F319" s="27">
        <v>261</v>
      </c>
      <c r="G319" s="28">
        <v>18</v>
      </c>
    </row>
    <row r="320" spans="1:7" x14ac:dyDescent="0.35">
      <c r="A320" s="24" t="s">
        <v>223</v>
      </c>
      <c r="B320" s="25">
        <v>45730</v>
      </c>
      <c r="C320" s="26">
        <v>19537</v>
      </c>
      <c r="D320" s="27">
        <v>4.08</v>
      </c>
      <c r="E320" s="27">
        <v>3.28</v>
      </c>
      <c r="F320" s="27">
        <v>229</v>
      </c>
      <c r="G320" s="28">
        <v>30</v>
      </c>
    </row>
    <row r="321" spans="1:7" x14ac:dyDescent="0.35">
      <c r="A321" s="24" t="s">
        <v>223</v>
      </c>
      <c r="B321" s="25">
        <v>45754</v>
      </c>
      <c r="C321" s="26">
        <v>20658</v>
      </c>
      <c r="D321" s="27">
        <v>3.91</v>
      </c>
      <c r="E321" s="27">
        <v>3.24</v>
      </c>
      <c r="F321" s="27">
        <v>210</v>
      </c>
      <c r="G321" s="28">
        <v>83</v>
      </c>
    </row>
    <row r="322" spans="1:7" x14ac:dyDescent="0.35">
      <c r="A322" s="24" t="s">
        <v>223</v>
      </c>
      <c r="B322" s="25">
        <v>45758</v>
      </c>
      <c r="C322" s="26">
        <v>20658</v>
      </c>
      <c r="D322" s="27">
        <v>3.98</v>
      </c>
      <c r="E322" s="27">
        <v>3.28</v>
      </c>
      <c r="F322" s="27">
        <v>185</v>
      </c>
      <c r="G322" s="28">
        <v>42</v>
      </c>
    </row>
    <row r="323" spans="1:7" x14ac:dyDescent="0.35">
      <c r="A323" s="24" t="s">
        <v>229</v>
      </c>
      <c r="B323" s="25">
        <v>45478</v>
      </c>
      <c r="C323" s="26">
        <v>25664</v>
      </c>
      <c r="D323" s="27">
        <v>4.12</v>
      </c>
      <c r="E323" s="27">
        <v>3.26</v>
      </c>
      <c r="F323" s="26">
        <v>800</v>
      </c>
      <c r="G323" s="28">
        <v>39</v>
      </c>
    </row>
    <row r="324" spans="1:7" x14ac:dyDescent="0.35">
      <c r="A324" s="24" t="s">
        <v>229</v>
      </c>
      <c r="B324" s="25">
        <v>45488</v>
      </c>
      <c r="C324" s="26">
        <v>25664</v>
      </c>
      <c r="D324" s="27">
        <v>4.32</v>
      </c>
      <c r="E324" s="27">
        <v>3.37</v>
      </c>
      <c r="F324" s="27">
        <v>457</v>
      </c>
      <c r="G324" s="28">
        <v>22</v>
      </c>
    </row>
    <row r="325" spans="1:7" x14ac:dyDescent="0.35">
      <c r="A325" s="24" t="s">
        <v>229</v>
      </c>
      <c r="B325" s="25">
        <v>45517</v>
      </c>
      <c r="C325" s="26">
        <v>30218</v>
      </c>
      <c r="D325" s="27">
        <v>4.17</v>
      </c>
      <c r="E325" s="27">
        <v>3.3</v>
      </c>
      <c r="F325" s="27">
        <v>424</v>
      </c>
      <c r="G325" s="28">
        <v>12</v>
      </c>
    </row>
    <row r="326" spans="1:7" x14ac:dyDescent="0.35">
      <c r="A326" s="24" t="s">
        <v>229</v>
      </c>
      <c r="B326" s="25">
        <v>45519</v>
      </c>
      <c r="C326" s="26">
        <v>30218</v>
      </c>
      <c r="D326" s="27">
        <v>4.2</v>
      </c>
      <c r="E326" s="27">
        <v>3.21</v>
      </c>
      <c r="F326" s="27">
        <v>409</v>
      </c>
      <c r="G326" s="28">
        <v>9</v>
      </c>
    </row>
    <row r="327" spans="1:7" x14ac:dyDescent="0.35">
      <c r="A327" s="24" t="s">
        <v>229</v>
      </c>
      <c r="B327" s="25">
        <v>45544</v>
      </c>
      <c r="C327" s="26">
        <v>26919</v>
      </c>
      <c r="D327" s="27">
        <v>4.0599999999999996</v>
      </c>
      <c r="E327" s="27">
        <v>3.33</v>
      </c>
      <c r="F327" s="27">
        <v>422</v>
      </c>
      <c r="G327" s="28">
        <v>10</v>
      </c>
    </row>
    <row r="328" spans="1:7" x14ac:dyDescent="0.35">
      <c r="A328" s="24" t="s">
        <v>229</v>
      </c>
      <c r="B328" s="25">
        <v>45551</v>
      </c>
      <c r="C328" s="26">
        <v>26919</v>
      </c>
      <c r="D328" s="27">
        <v>3.86</v>
      </c>
      <c r="E328" s="27">
        <v>3.22</v>
      </c>
      <c r="F328" s="27">
        <v>344</v>
      </c>
      <c r="G328" s="28">
        <v>15</v>
      </c>
    </row>
    <row r="329" spans="1:7" x14ac:dyDescent="0.35">
      <c r="A329" s="24" t="s">
        <v>229</v>
      </c>
      <c r="B329" s="25">
        <v>45580</v>
      </c>
      <c r="C329" s="26">
        <v>26066</v>
      </c>
      <c r="D329" s="27">
        <v>3.96</v>
      </c>
      <c r="E329" s="27">
        <v>3.34</v>
      </c>
      <c r="F329" s="27">
        <v>539</v>
      </c>
      <c r="G329" s="28">
        <v>20</v>
      </c>
    </row>
    <row r="330" spans="1:7" x14ac:dyDescent="0.35">
      <c r="A330" s="24" t="s">
        <v>229</v>
      </c>
      <c r="B330" s="25">
        <v>45587</v>
      </c>
      <c r="C330" s="26">
        <v>26066</v>
      </c>
      <c r="D330" s="27">
        <v>4.0999999999999996</v>
      </c>
      <c r="E330" s="27">
        <v>3.1</v>
      </c>
      <c r="F330" s="26">
        <v>800</v>
      </c>
      <c r="G330" s="28">
        <v>33</v>
      </c>
    </row>
    <row r="331" spans="1:7" x14ac:dyDescent="0.35">
      <c r="A331" s="24" t="s">
        <v>229</v>
      </c>
      <c r="B331" s="25">
        <v>45608</v>
      </c>
      <c r="C331" s="26">
        <v>25342</v>
      </c>
      <c r="D331" s="27">
        <v>4.0599999999999996</v>
      </c>
      <c r="E331" s="27">
        <v>3.2</v>
      </c>
      <c r="F331" s="27">
        <v>585</v>
      </c>
      <c r="G331" s="28">
        <v>15</v>
      </c>
    </row>
    <row r="332" spans="1:7" x14ac:dyDescent="0.35">
      <c r="A332" s="24" t="s">
        <v>229</v>
      </c>
      <c r="B332" s="25">
        <v>45614</v>
      </c>
      <c r="C332" s="26">
        <v>25342</v>
      </c>
      <c r="D332" s="27">
        <v>4.04</v>
      </c>
      <c r="E332" s="27">
        <v>3.29</v>
      </c>
      <c r="F332" s="27">
        <v>484</v>
      </c>
      <c r="G332" s="28">
        <v>10</v>
      </c>
    </row>
    <row r="333" spans="1:7" x14ac:dyDescent="0.35">
      <c r="A333" s="24" t="s">
        <v>229</v>
      </c>
      <c r="B333" s="25">
        <v>45637</v>
      </c>
      <c r="C333" s="26">
        <v>26605</v>
      </c>
      <c r="D333" s="27">
        <v>4.0599999999999996</v>
      </c>
      <c r="E333" s="27">
        <v>3.12</v>
      </c>
      <c r="F333" s="27">
        <v>584</v>
      </c>
      <c r="G333" s="28">
        <v>19</v>
      </c>
    </row>
    <row r="334" spans="1:7" x14ac:dyDescent="0.35">
      <c r="A334" s="24" t="s">
        <v>229</v>
      </c>
      <c r="B334" s="25">
        <v>45638</v>
      </c>
      <c r="C334" s="26">
        <v>26605</v>
      </c>
      <c r="D334" s="27">
        <v>4.21</v>
      </c>
      <c r="E334" s="27">
        <v>3.16</v>
      </c>
      <c r="F334" s="26">
        <v>800</v>
      </c>
      <c r="G334" s="28">
        <v>140</v>
      </c>
    </row>
    <row r="335" spans="1:7" x14ac:dyDescent="0.35">
      <c r="A335" s="24" t="s">
        <v>229</v>
      </c>
      <c r="B335" s="25">
        <v>45674</v>
      </c>
      <c r="C335" s="26">
        <v>26651</v>
      </c>
      <c r="D335" s="27">
        <v>4.3499999999999996</v>
      </c>
      <c r="E335" s="27">
        <v>3.08</v>
      </c>
      <c r="F335" s="27">
        <v>737</v>
      </c>
      <c r="G335" s="28">
        <v>21</v>
      </c>
    </row>
    <row r="336" spans="1:7" x14ac:dyDescent="0.35">
      <c r="A336" s="24" t="s">
        <v>229</v>
      </c>
      <c r="B336" s="25">
        <v>45680</v>
      </c>
      <c r="C336" s="26">
        <v>26651</v>
      </c>
      <c r="D336" s="27">
        <v>4.1500000000000004</v>
      </c>
      <c r="E336" s="27">
        <v>3.22</v>
      </c>
      <c r="F336" s="27">
        <v>716</v>
      </c>
      <c r="G336" s="28">
        <v>26</v>
      </c>
    </row>
    <row r="337" spans="1:7" x14ac:dyDescent="0.35">
      <c r="A337" s="24" t="s">
        <v>229</v>
      </c>
      <c r="B337" s="25">
        <v>45698</v>
      </c>
      <c r="C337" s="26">
        <v>25835</v>
      </c>
      <c r="D337" s="27">
        <v>4</v>
      </c>
      <c r="E337" s="27">
        <v>3.31</v>
      </c>
      <c r="F337" s="26">
        <v>800</v>
      </c>
      <c r="G337" s="28">
        <v>22</v>
      </c>
    </row>
    <row r="338" spans="1:7" x14ac:dyDescent="0.35">
      <c r="A338" s="24" t="s">
        <v>229</v>
      </c>
      <c r="B338" s="25">
        <v>45701</v>
      </c>
      <c r="C338" s="26">
        <v>25835</v>
      </c>
      <c r="D338" s="27">
        <v>4.08</v>
      </c>
      <c r="E338" s="27">
        <v>3.24</v>
      </c>
      <c r="F338" s="27">
        <v>746</v>
      </c>
      <c r="G338" s="28">
        <v>21</v>
      </c>
    </row>
    <row r="339" spans="1:7" x14ac:dyDescent="0.35">
      <c r="A339" s="24" t="s">
        <v>229</v>
      </c>
      <c r="B339" s="25">
        <v>45727</v>
      </c>
      <c r="C339" s="26">
        <v>30080</v>
      </c>
      <c r="D339" s="27">
        <v>4.47</v>
      </c>
      <c r="E339" s="27">
        <v>3.44</v>
      </c>
      <c r="F339" s="27">
        <v>672</v>
      </c>
      <c r="G339" s="28">
        <v>14</v>
      </c>
    </row>
    <row r="340" spans="1:7" x14ac:dyDescent="0.35">
      <c r="A340" s="24" t="s">
        <v>229</v>
      </c>
      <c r="B340" s="25">
        <v>45730</v>
      </c>
      <c r="C340" s="26">
        <v>30080</v>
      </c>
      <c r="D340" s="27">
        <v>4.2699999999999996</v>
      </c>
      <c r="E340" s="27">
        <v>3.22</v>
      </c>
      <c r="F340" s="27">
        <v>639</v>
      </c>
      <c r="G340" s="28">
        <v>20</v>
      </c>
    </row>
    <row r="341" spans="1:7" x14ac:dyDescent="0.35">
      <c r="A341" s="24" t="s">
        <v>229</v>
      </c>
      <c r="B341" s="25">
        <v>45754</v>
      </c>
      <c r="C341" s="26">
        <v>25838</v>
      </c>
      <c r="D341" s="27">
        <v>4.3899999999999997</v>
      </c>
      <c r="E341" s="27">
        <v>3.43</v>
      </c>
      <c r="F341" s="27">
        <v>700</v>
      </c>
      <c r="G341" s="28">
        <v>14</v>
      </c>
    </row>
    <row r="342" spans="1:7" x14ac:dyDescent="0.35">
      <c r="A342" s="24" t="s">
        <v>229</v>
      </c>
      <c r="B342" s="25">
        <v>45758</v>
      </c>
      <c r="C342" s="26">
        <v>25838</v>
      </c>
      <c r="D342" s="27">
        <v>4.33</v>
      </c>
      <c r="E342" s="27">
        <v>3.39</v>
      </c>
      <c r="F342" s="26">
        <v>800</v>
      </c>
      <c r="G342" s="28">
        <v>46</v>
      </c>
    </row>
    <row r="343" spans="1:7" x14ac:dyDescent="0.35">
      <c r="A343" s="24" t="s">
        <v>232</v>
      </c>
      <c r="B343" s="25">
        <v>45478</v>
      </c>
      <c r="C343" s="26">
        <v>11295</v>
      </c>
      <c r="D343" s="27">
        <v>3.96</v>
      </c>
      <c r="E343" s="27">
        <v>3.27</v>
      </c>
      <c r="F343" s="27">
        <v>354</v>
      </c>
      <c r="G343" s="28">
        <v>17</v>
      </c>
    </row>
    <row r="344" spans="1:7" x14ac:dyDescent="0.35">
      <c r="A344" s="24" t="s">
        <v>232</v>
      </c>
      <c r="B344" s="25">
        <v>45488</v>
      </c>
      <c r="C344" s="26">
        <v>11295</v>
      </c>
      <c r="D344" s="27">
        <v>3.98</v>
      </c>
      <c r="E344" s="27">
        <v>3.27</v>
      </c>
      <c r="F344" s="27">
        <v>368</v>
      </c>
      <c r="G344" s="28">
        <v>12</v>
      </c>
    </row>
    <row r="345" spans="1:7" x14ac:dyDescent="0.35">
      <c r="A345" s="24" t="s">
        <v>232</v>
      </c>
      <c r="B345" s="25">
        <v>45517</v>
      </c>
      <c r="C345" s="26">
        <v>11370</v>
      </c>
      <c r="D345" s="27">
        <v>3.78</v>
      </c>
      <c r="E345" s="27">
        <v>3.26</v>
      </c>
      <c r="F345" s="27">
        <v>785</v>
      </c>
      <c r="G345" s="28">
        <v>13</v>
      </c>
    </row>
    <row r="346" spans="1:7" x14ac:dyDescent="0.35">
      <c r="A346" s="24" t="s">
        <v>232</v>
      </c>
      <c r="B346" s="25">
        <v>45519</v>
      </c>
      <c r="C346" s="26">
        <v>11370</v>
      </c>
      <c r="D346" s="27">
        <v>3.97</v>
      </c>
      <c r="E346" s="27">
        <v>3.37</v>
      </c>
      <c r="F346" s="27">
        <v>649</v>
      </c>
      <c r="G346" s="28">
        <v>10</v>
      </c>
    </row>
    <row r="347" spans="1:7" x14ac:dyDescent="0.35">
      <c r="A347" s="24" t="s">
        <v>232</v>
      </c>
      <c r="B347" s="25">
        <v>45544</v>
      </c>
      <c r="C347" s="26">
        <v>11300</v>
      </c>
      <c r="D347" s="27">
        <v>3.93</v>
      </c>
      <c r="E347" s="27">
        <v>3.35</v>
      </c>
      <c r="F347" s="27">
        <v>447</v>
      </c>
      <c r="G347" s="28">
        <v>7</v>
      </c>
    </row>
    <row r="348" spans="1:7" x14ac:dyDescent="0.35">
      <c r="A348" s="24" t="s">
        <v>232</v>
      </c>
      <c r="B348" s="25">
        <v>45551</v>
      </c>
      <c r="C348" s="26">
        <v>11300</v>
      </c>
      <c r="D348" s="27">
        <v>3.76</v>
      </c>
      <c r="E348" s="27">
        <v>3.27</v>
      </c>
      <c r="F348" s="27">
        <v>336</v>
      </c>
      <c r="G348" s="28">
        <v>13</v>
      </c>
    </row>
    <row r="349" spans="1:7" x14ac:dyDescent="0.35">
      <c r="A349" s="24" t="s">
        <v>232</v>
      </c>
      <c r="B349" s="25">
        <v>45580</v>
      </c>
      <c r="C349" s="26">
        <v>10462</v>
      </c>
      <c r="D349" s="27">
        <v>3.68</v>
      </c>
      <c r="E349" s="27">
        <v>3.36</v>
      </c>
      <c r="F349" s="27">
        <v>482</v>
      </c>
      <c r="G349" s="28">
        <v>10</v>
      </c>
    </row>
    <row r="350" spans="1:7" x14ac:dyDescent="0.35">
      <c r="A350" s="24" t="s">
        <v>232</v>
      </c>
      <c r="B350" s="25">
        <v>45587</v>
      </c>
      <c r="C350" s="26">
        <v>10462</v>
      </c>
      <c r="D350" s="27">
        <v>3.79</v>
      </c>
      <c r="E350" s="27">
        <v>3.29</v>
      </c>
      <c r="F350" s="27">
        <v>349</v>
      </c>
      <c r="G350" s="28">
        <v>6</v>
      </c>
    </row>
    <row r="351" spans="1:7" x14ac:dyDescent="0.35">
      <c r="A351" s="24" t="s">
        <v>232</v>
      </c>
      <c r="B351" s="25">
        <v>45608</v>
      </c>
      <c r="C351" s="26">
        <v>8546</v>
      </c>
      <c r="D351" s="27">
        <v>3.89</v>
      </c>
      <c r="E351" s="27">
        <v>3.35</v>
      </c>
      <c r="F351" s="27">
        <v>618</v>
      </c>
      <c r="G351" s="28">
        <v>18</v>
      </c>
    </row>
    <row r="352" spans="1:7" x14ac:dyDescent="0.35">
      <c r="A352" s="24" t="s">
        <v>232</v>
      </c>
      <c r="B352" s="25">
        <v>45614</v>
      </c>
      <c r="C352" s="26">
        <v>8546</v>
      </c>
      <c r="D352" s="27">
        <v>3.87</v>
      </c>
      <c r="E352" s="27">
        <v>3.32</v>
      </c>
      <c r="F352" s="27">
        <v>264</v>
      </c>
      <c r="G352" s="28">
        <v>6</v>
      </c>
    </row>
    <row r="353" spans="1:7" x14ac:dyDescent="0.35">
      <c r="A353" s="24" t="s">
        <v>232</v>
      </c>
      <c r="B353" s="25">
        <v>45637</v>
      </c>
      <c r="C353" s="26">
        <v>9157</v>
      </c>
      <c r="D353" s="27">
        <v>3.78</v>
      </c>
      <c r="E353" s="27">
        <v>3.29</v>
      </c>
      <c r="F353" s="27">
        <v>212</v>
      </c>
      <c r="G353" s="28">
        <v>13</v>
      </c>
    </row>
    <row r="354" spans="1:7" x14ac:dyDescent="0.35">
      <c r="A354" s="24" t="s">
        <v>232</v>
      </c>
      <c r="B354" s="25">
        <v>45638</v>
      </c>
      <c r="C354" s="26">
        <v>9157</v>
      </c>
      <c r="D354" s="27">
        <v>3.77</v>
      </c>
      <c r="E354" s="27">
        <v>3.37</v>
      </c>
      <c r="F354" s="27">
        <v>306</v>
      </c>
      <c r="G354" s="28">
        <v>21</v>
      </c>
    </row>
    <row r="355" spans="1:7" x14ac:dyDescent="0.35">
      <c r="A355" s="24" t="s">
        <v>232</v>
      </c>
      <c r="B355" s="25">
        <v>45670</v>
      </c>
      <c r="C355" s="26">
        <v>9516</v>
      </c>
      <c r="D355" s="27">
        <v>3.84</v>
      </c>
      <c r="E355" s="27">
        <v>3.25</v>
      </c>
      <c r="F355" s="27">
        <v>294</v>
      </c>
      <c r="G355" s="28">
        <v>9</v>
      </c>
    </row>
    <row r="356" spans="1:7" x14ac:dyDescent="0.35">
      <c r="A356" s="24" t="s">
        <v>232</v>
      </c>
      <c r="B356" s="25">
        <v>45674</v>
      </c>
      <c r="C356" s="26">
        <v>9516</v>
      </c>
      <c r="D356" s="27">
        <v>3.74</v>
      </c>
      <c r="E356" s="27">
        <v>3.26</v>
      </c>
      <c r="F356" s="27">
        <v>252</v>
      </c>
      <c r="G356" s="28">
        <v>13</v>
      </c>
    </row>
    <row r="357" spans="1:7" x14ac:dyDescent="0.35">
      <c r="A357" s="24" t="s">
        <v>232</v>
      </c>
      <c r="B357" s="25">
        <v>45698</v>
      </c>
      <c r="C357" s="26">
        <v>8228</v>
      </c>
      <c r="D357" s="27">
        <v>3.66</v>
      </c>
      <c r="E357" s="27">
        <v>3.29</v>
      </c>
      <c r="F357" s="27">
        <v>253</v>
      </c>
      <c r="G357" s="28">
        <v>11</v>
      </c>
    </row>
    <row r="358" spans="1:7" x14ac:dyDescent="0.35">
      <c r="A358" s="24" t="s">
        <v>232</v>
      </c>
      <c r="B358" s="25">
        <v>45701</v>
      </c>
      <c r="C358" s="26">
        <v>8228</v>
      </c>
      <c r="D358" s="27">
        <v>3.66</v>
      </c>
      <c r="E358" s="27">
        <v>3.22</v>
      </c>
      <c r="F358" s="27">
        <v>262</v>
      </c>
      <c r="G358" s="28">
        <v>7</v>
      </c>
    </row>
    <row r="359" spans="1:7" x14ac:dyDescent="0.35">
      <c r="A359" s="24" t="s">
        <v>232</v>
      </c>
      <c r="B359" s="25">
        <v>45727</v>
      </c>
      <c r="C359" s="26">
        <v>8525</v>
      </c>
      <c r="D359" s="27">
        <v>3.72</v>
      </c>
      <c r="E359" s="27">
        <v>3.22</v>
      </c>
      <c r="F359" s="27">
        <v>393</v>
      </c>
      <c r="G359" s="28">
        <v>9</v>
      </c>
    </row>
    <row r="360" spans="1:7" x14ac:dyDescent="0.35">
      <c r="A360" s="24" t="s">
        <v>232</v>
      </c>
      <c r="B360" s="25">
        <v>45730</v>
      </c>
      <c r="C360" s="26">
        <v>8525</v>
      </c>
      <c r="D360" s="27">
        <v>3.72</v>
      </c>
      <c r="E360" s="27">
        <v>3.06</v>
      </c>
      <c r="F360" s="27">
        <v>308</v>
      </c>
      <c r="G360" s="28">
        <v>13</v>
      </c>
    </row>
    <row r="361" spans="1:7" x14ac:dyDescent="0.35">
      <c r="A361" s="24" t="s">
        <v>232</v>
      </c>
      <c r="B361" s="25">
        <v>45754</v>
      </c>
      <c r="C361" s="26">
        <v>9153</v>
      </c>
      <c r="D361" s="27">
        <v>3.64</v>
      </c>
      <c r="E361" s="27">
        <v>3.15</v>
      </c>
      <c r="F361" s="27">
        <v>444</v>
      </c>
      <c r="G361" s="28">
        <v>50</v>
      </c>
    </row>
    <row r="362" spans="1:7" x14ac:dyDescent="0.35">
      <c r="A362" s="24" t="s">
        <v>232</v>
      </c>
      <c r="B362" s="25">
        <v>45758</v>
      </c>
      <c r="C362" s="26">
        <v>9153</v>
      </c>
      <c r="D362" s="27">
        <v>3.56</v>
      </c>
      <c r="E362" s="27">
        <v>3.28</v>
      </c>
      <c r="F362" s="27">
        <v>670</v>
      </c>
      <c r="G362" s="28">
        <v>190</v>
      </c>
    </row>
    <row r="363" spans="1:7" x14ac:dyDescent="0.35">
      <c r="A363" s="24" t="s">
        <v>233</v>
      </c>
      <c r="B363" s="25">
        <v>45478</v>
      </c>
      <c r="C363" s="26">
        <v>3744</v>
      </c>
      <c r="D363" s="27">
        <v>3.92</v>
      </c>
      <c r="E363" s="27">
        <v>3.37</v>
      </c>
      <c r="F363" s="27">
        <v>79</v>
      </c>
      <c r="G363" s="28">
        <v>5</v>
      </c>
    </row>
    <row r="364" spans="1:7" x14ac:dyDescent="0.35">
      <c r="A364" s="24" t="s">
        <v>233</v>
      </c>
      <c r="B364" s="25">
        <v>45488</v>
      </c>
      <c r="C364" s="26">
        <v>3744</v>
      </c>
      <c r="D364" s="27">
        <v>3.96</v>
      </c>
      <c r="E364" s="27">
        <v>3.29</v>
      </c>
      <c r="F364" s="27">
        <v>50</v>
      </c>
      <c r="G364" s="28">
        <v>13</v>
      </c>
    </row>
    <row r="365" spans="1:7" x14ac:dyDescent="0.35">
      <c r="A365" s="24" t="s">
        <v>233</v>
      </c>
      <c r="B365" s="25">
        <v>45517</v>
      </c>
      <c r="C365" s="26">
        <v>3895</v>
      </c>
      <c r="D365" s="27">
        <v>3.89</v>
      </c>
      <c r="E365" s="27">
        <v>3.12</v>
      </c>
      <c r="F365" s="26">
        <v>800</v>
      </c>
      <c r="G365" s="28">
        <v>17</v>
      </c>
    </row>
    <row r="366" spans="1:7" x14ac:dyDescent="0.35">
      <c r="A366" s="24" t="s">
        <v>233</v>
      </c>
      <c r="B366" s="25">
        <v>45519</v>
      </c>
      <c r="C366" s="26">
        <v>3895</v>
      </c>
      <c r="D366" s="27">
        <v>4.2</v>
      </c>
      <c r="E366" s="27">
        <v>3.36</v>
      </c>
      <c r="F366" s="27">
        <v>50</v>
      </c>
      <c r="G366" s="28">
        <v>7</v>
      </c>
    </row>
    <row r="367" spans="1:7" x14ac:dyDescent="0.35">
      <c r="A367" s="24" t="s">
        <v>233</v>
      </c>
      <c r="B367" s="25">
        <v>45544</v>
      </c>
      <c r="C367" s="26">
        <v>3813</v>
      </c>
      <c r="D367" s="27">
        <v>4.01</v>
      </c>
      <c r="E367" s="27">
        <v>3.27</v>
      </c>
      <c r="F367" s="27">
        <v>136</v>
      </c>
      <c r="G367" s="28">
        <v>5</v>
      </c>
    </row>
    <row r="368" spans="1:7" x14ac:dyDescent="0.35">
      <c r="A368" s="24" t="s">
        <v>233</v>
      </c>
      <c r="B368" s="25">
        <v>45551</v>
      </c>
      <c r="C368" s="26">
        <v>3813</v>
      </c>
      <c r="D368" s="27">
        <v>3.67</v>
      </c>
      <c r="E368" s="27">
        <v>3.19</v>
      </c>
      <c r="F368" s="27">
        <v>615</v>
      </c>
      <c r="G368" s="28">
        <v>6</v>
      </c>
    </row>
    <row r="369" spans="1:7" x14ac:dyDescent="0.35">
      <c r="A369" s="24" t="s">
        <v>233</v>
      </c>
      <c r="B369" s="25">
        <v>45580</v>
      </c>
      <c r="C369" s="26">
        <v>3376</v>
      </c>
      <c r="D369" s="27">
        <v>3.75</v>
      </c>
      <c r="E369" s="27">
        <v>3.17</v>
      </c>
      <c r="F369" s="27">
        <v>611</v>
      </c>
      <c r="G369" s="28">
        <v>5</v>
      </c>
    </row>
    <row r="370" spans="1:7" x14ac:dyDescent="0.35">
      <c r="A370" s="24" t="s">
        <v>233</v>
      </c>
      <c r="B370" s="25">
        <v>45587</v>
      </c>
      <c r="C370" s="26">
        <v>3376</v>
      </c>
      <c r="D370" s="27">
        <v>3.67</v>
      </c>
      <c r="E370" s="27">
        <v>3.12</v>
      </c>
      <c r="F370" s="27">
        <v>691</v>
      </c>
      <c r="G370" s="28">
        <v>6</v>
      </c>
    </row>
    <row r="371" spans="1:7" x14ac:dyDescent="0.35">
      <c r="A371" s="24" t="s">
        <v>233</v>
      </c>
      <c r="B371" s="25">
        <v>45608</v>
      </c>
      <c r="C371" s="26">
        <v>3128</v>
      </c>
      <c r="D371" s="27">
        <v>3.98</v>
      </c>
      <c r="E371" s="27">
        <v>3.15</v>
      </c>
      <c r="F371" s="27">
        <v>370</v>
      </c>
      <c r="G371" s="28">
        <v>9</v>
      </c>
    </row>
    <row r="372" spans="1:7" x14ac:dyDescent="0.35">
      <c r="A372" s="24" t="s">
        <v>233</v>
      </c>
      <c r="B372" s="25">
        <v>45614</v>
      </c>
      <c r="C372" s="26">
        <v>3128</v>
      </c>
      <c r="D372" s="27">
        <v>4.03</v>
      </c>
      <c r="E372" s="27">
        <v>3.2</v>
      </c>
      <c r="F372" s="27">
        <v>414</v>
      </c>
      <c r="G372" s="28">
        <v>6</v>
      </c>
    </row>
    <row r="373" spans="1:7" x14ac:dyDescent="0.35">
      <c r="A373" s="24" t="s">
        <v>233</v>
      </c>
      <c r="B373" s="25">
        <v>45637</v>
      </c>
      <c r="C373" s="26">
        <v>2920</v>
      </c>
      <c r="D373" s="27">
        <v>4.0999999999999996</v>
      </c>
      <c r="E373" s="27">
        <v>3.29</v>
      </c>
      <c r="F373" s="27">
        <v>342</v>
      </c>
      <c r="G373" s="28">
        <v>14</v>
      </c>
    </row>
    <row r="374" spans="1:7" x14ac:dyDescent="0.35">
      <c r="A374" s="24" t="s">
        <v>233</v>
      </c>
      <c r="B374" s="25">
        <v>45638</v>
      </c>
      <c r="C374" s="26">
        <v>2920</v>
      </c>
      <c r="D374" s="27">
        <v>4.13</v>
      </c>
      <c r="E374" s="27">
        <v>3.28</v>
      </c>
      <c r="F374" s="27">
        <v>420</v>
      </c>
      <c r="G374" s="28">
        <v>8</v>
      </c>
    </row>
    <row r="375" spans="1:7" x14ac:dyDescent="0.35">
      <c r="A375" s="24" t="s">
        <v>233</v>
      </c>
      <c r="B375" s="25">
        <v>45670</v>
      </c>
      <c r="C375" s="26">
        <v>3312</v>
      </c>
      <c r="D375" s="27">
        <v>3.74</v>
      </c>
      <c r="E375" s="27">
        <v>3.27</v>
      </c>
      <c r="F375" s="27">
        <v>449</v>
      </c>
      <c r="G375" s="28">
        <v>5</v>
      </c>
    </row>
    <row r="376" spans="1:7" x14ac:dyDescent="0.35">
      <c r="A376" s="24" t="s">
        <v>233</v>
      </c>
      <c r="B376" s="25">
        <v>45674</v>
      </c>
      <c r="C376" s="26">
        <v>3312</v>
      </c>
      <c r="D376" s="27">
        <v>3.78</v>
      </c>
      <c r="E376" s="27">
        <v>3.16</v>
      </c>
      <c r="F376" s="27">
        <v>318</v>
      </c>
      <c r="G376" s="28">
        <v>5</v>
      </c>
    </row>
    <row r="377" spans="1:7" x14ac:dyDescent="0.35">
      <c r="A377" s="24" t="s">
        <v>233</v>
      </c>
      <c r="B377" s="25">
        <v>45698</v>
      </c>
      <c r="C377" s="26">
        <v>2932</v>
      </c>
      <c r="D377" s="27">
        <v>3.8</v>
      </c>
      <c r="E377" s="27">
        <v>3.34</v>
      </c>
      <c r="F377" s="27">
        <v>402</v>
      </c>
      <c r="G377" s="28">
        <v>8</v>
      </c>
    </row>
    <row r="378" spans="1:7" x14ac:dyDescent="0.35">
      <c r="A378" s="24" t="s">
        <v>233</v>
      </c>
      <c r="B378" s="25">
        <v>45701</v>
      </c>
      <c r="C378" s="26">
        <v>2932</v>
      </c>
      <c r="D378" s="27">
        <v>3.76</v>
      </c>
      <c r="E378" s="27">
        <v>3.29</v>
      </c>
      <c r="F378" s="27">
        <v>488</v>
      </c>
      <c r="G378" s="28">
        <v>8</v>
      </c>
    </row>
    <row r="379" spans="1:7" x14ac:dyDescent="0.35">
      <c r="A379" s="24" t="s">
        <v>233</v>
      </c>
      <c r="B379" s="25">
        <v>45727</v>
      </c>
      <c r="C379" s="26">
        <v>3070</v>
      </c>
      <c r="D379" s="27">
        <v>4.0199999999999996</v>
      </c>
      <c r="E379" s="27">
        <v>3.42</v>
      </c>
      <c r="F379" s="27">
        <v>351</v>
      </c>
      <c r="G379" s="28">
        <v>5</v>
      </c>
    </row>
    <row r="380" spans="1:7" x14ac:dyDescent="0.35">
      <c r="A380" s="24" t="s">
        <v>233</v>
      </c>
      <c r="B380" s="25">
        <v>45730</v>
      </c>
      <c r="C380" s="26">
        <v>3070</v>
      </c>
      <c r="D380" s="27">
        <v>3.9</v>
      </c>
      <c r="E380" s="27">
        <v>3.37</v>
      </c>
      <c r="F380" s="27">
        <v>329</v>
      </c>
      <c r="G380" s="28">
        <v>8</v>
      </c>
    </row>
    <row r="381" spans="1:7" x14ac:dyDescent="0.35">
      <c r="A381" s="24" t="s">
        <v>233</v>
      </c>
      <c r="B381" s="25">
        <v>45754</v>
      </c>
      <c r="C381" s="26">
        <v>2978</v>
      </c>
      <c r="D381" s="27">
        <v>3.94</v>
      </c>
      <c r="E381" s="27">
        <v>3.3</v>
      </c>
      <c r="F381" s="27">
        <v>188</v>
      </c>
      <c r="G381" s="28">
        <v>88</v>
      </c>
    </row>
    <row r="382" spans="1:7" x14ac:dyDescent="0.35">
      <c r="A382" s="24" t="s">
        <v>233</v>
      </c>
      <c r="B382" s="25">
        <v>45762</v>
      </c>
      <c r="C382" s="26">
        <v>2978</v>
      </c>
      <c r="D382" s="27">
        <v>4.3099999999999996</v>
      </c>
      <c r="E382" s="27">
        <v>3.33</v>
      </c>
      <c r="F382" s="27">
        <v>198</v>
      </c>
      <c r="G382" s="28">
        <v>5</v>
      </c>
    </row>
    <row r="383" spans="1:7" x14ac:dyDescent="0.35">
      <c r="A383" s="24" t="s">
        <v>235</v>
      </c>
      <c r="B383" s="25">
        <v>45478</v>
      </c>
      <c r="C383" s="26">
        <v>17484</v>
      </c>
      <c r="D383" s="27">
        <v>4.25</v>
      </c>
      <c r="E383" s="27">
        <v>3.54</v>
      </c>
      <c r="F383" s="27">
        <v>496</v>
      </c>
      <c r="G383" s="28">
        <v>11</v>
      </c>
    </row>
    <row r="384" spans="1:7" x14ac:dyDescent="0.35">
      <c r="A384" s="24" t="s">
        <v>235</v>
      </c>
      <c r="B384" s="25">
        <v>45488</v>
      </c>
      <c r="C384" s="26">
        <v>17484</v>
      </c>
      <c r="D384" s="27">
        <v>4.05</v>
      </c>
      <c r="E384" s="27">
        <v>3.54</v>
      </c>
      <c r="F384" s="27">
        <v>616</v>
      </c>
      <c r="G384" s="28">
        <v>12</v>
      </c>
    </row>
    <row r="385" spans="1:7" x14ac:dyDescent="0.35">
      <c r="A385" s="24" t="s">
        <v>235</v>
      </c>
      <c r="B385" s="25">
        <v>45517</v>
      </c>
      <c r="C385" s="26">
        <v>15748</v>
      </c>
      <c r="D385" s="27">
        <v>3.98</v>
      </c>
      <c r="E385" s="27">
        <v>3.43</v>
      </c>
      <c r="F385" s="27">
        <v>351</v>
      </c>
      <c r="G385" s="28">
        <v>8</v>
      </c>
    </row>
    <row r="386" spans="1:7" x14ac:dyDescent="0.35">
      <c r="A386" s="24" t="s">
        <v>235</v>
      </c>
      <c r="B386" s="25">
        <v>45519</v>
      </c>
      <c r="C386" s="26">
        <v>15748</v>
      </c>
      <c r="D386" s="27">
        <v>4.0199999999999996</v>
      </c>
      <c r="E386" s="27">
        <v>3.44</v>
      </c>
      <c r="F386" s="27">
        <v>188</v>
      </c>
      <c r="G386" s="28">
        <v>5</v>
      </c>
    </row>
    <row r="387" spans="1:7" x14ac:dyDescent="0.35">
      <c r="A387" s="24" t="s">
        <v>235</v>
      </c>
      <c r="B387" s="25">
        <v>45544</v>
      </c>
      <c r="C387" s="26">
        <v>15638</v>
      </c>
      <c r="D387" s="27">
        <v>4.25</v>
      </c>
      <c r="E387" s="27">
        <v>3.45</v>
      </c>
      <c r="F387" s="27">
        <v>171</v>
      </c>
      <c r="G387" s="28">
        <v>5</v>
      </c>
    </row>
    <row r="388" spans="1:7" x14ac:dyDescent="0.35">
      <c r="A388" s="24" t="s">
        <v>235</v>
      </c>
      <c r="B388" s="25">
        <v>45551</v>
      </c>
      <c r="C388" s="26">
        <v>15638</v>
      </c>
      <c r="D388" s="27">
        <v>4.12</v>
      </c>
      <c r="E388" s="27">
        <v>3.45</v>
      </c>
      <c r="F388" s="27">
        <v>211</v>
      </c>
      <c r="G388" s="28">
        <v>5</v>
      </c>
    </row>
    <row r="389" spans="1:7" x14ac:dyDescent="0.35">
      <c r="A389" s="24" t="s">
        <v>235</v>
      </c>
      <c r="B389" s="25">
        <v>45580</v>
      </c>
      <c r="C389" s="26">
        <v>16632</v>
      </c>
      <c r="D389" s="27">
        <v>4.1900000000000004</v>
      </c>
      <c r="E389" s="27">
        <v>3.37</v>
      </c>
      <c r="F389" s="27">
        <v>360</v>
      </c>
      <c r="G389" s="28">
        <v>5</v>
      </c>
    </row>
    <row r="390" spans="1:7" x14ac:dyDescent="0.35">
      <c r="A390" s="24" t="s">
        <v>235</v>
      </c>
      <c r="B390" s="25">
        <v>45587</v>
      </c>
      <c r="C390" s="26">
        <v>16632</v>
      </c>
      <c r="D390" s="27">
        <v>4.09</v>
      </c>
      <c r="E390" s="27">
        <v>3.32</v>
      </c>
      <c r="F390" s="27">
        <v>322</v>
      </c>
      <c r="G390" s="28">
        <v>11</v>
      </c>
    </row>
    <row r="391" spans="1:7" x14ac:dyDescent="0.35">
      <c r="A391" s="24" t="s">
        <v>235</v>
      </c>
      <c r="B391" s="25">
        <v>45608</v>
      </c>
      <c r="C391" s="26">
        <v>16717</v>
      </c>
      <c r="D391" s="27">
        <v>3.95</v>
      </c>
      <c r="E391" s="27">
        <v>3.38</v>
      </c>
      <c r="F391" s="27">
        <v>343</v>
      </c>
      <c r="G391" s="28">
        <v>7</v>
      </c>
    </row>
    <row r="392" spans="1:7" x14ac:dyDescent="0.35">
      <c r="A392" s="24" t="s">
        <v>235</v>
      </c>
      <c r="B392" s="25">
        <v>45614</v>
      </c>
      <c r="C392" s="26">
        <v>16717</v>
      </c>
      <c r="D392" s="27">
        <v>3.95</v>
      </c>
      <c r="E392" s="27">
        <v>3.32</v>
      </c>
      <c r="F392" s="27">
        <v>330</v>
      </c>
      <c r="G392" s="28">
        <v>10</v>
      </c>
    </row>
    <row r="393" spans="1:7" x14ac:dyDescent="0.35">
      <c r="A393" s="24" t="s">
        <v>235</v>
      </c>
      <c r="B393" s="25">
        <v>45637</v>
      </c>
      <c r="C393" s="26">
        <v>16414</v>
      </c>
      <c r="D393" s="27">
        <v>3.9</v>
      </c>
      <c r="E393" s="27">
        <v>3.35</v>
      </c>
      <c r="F393" s="26">
        <v>800</v>
      </c>
      <c r="G393" s="28">
        <v>14</v>
      </c>
    </row>
    <row r="394" spans="1:7" x14ac:dyDescent="0.35">
      <c r="A394" s="24" t="s">
        <v>235</v>
      </c>
      <c r="B394" s="25">
        <v>45638</v>
      </c>
      <c r="C394" s="26">
        <v>16414</v>
      </c>
      <c r="D394" s="27">
        <v>3.99</v>
      </c>
      <c r="E394" s="27">
        <v>3.41</v>
      </c>
      <c r="F394" s="27">
        <v>684</v>
      </c>
      <c r="G394" s="28">
        <v>7</v>
      </c>
    </row>
    <row r="395" spans="1:7" x14ac:dyDescent="0.35">
      <c r="A395" s="24" t="s">
        <v>235</v>
      </c>
      <c r="B395" s="25">
        <v>45670</v>
      </c>
      <c r="C395" s="26">
        <v>15560</v>
      </c>
      <c r="D395" s="27">
        <v>4.05</v>
      </c>
      <c r="E395" s="27">
        <v>3.33</v>
      </c>
      <c r="F395" s="27">
        <v>399</v>
      </c>
      <c r="G395" s="28">
        <v>7</v>
      </c>
    </row>
    <row r="396" spans="1:7" x14ac:dyDescent="0.35">
      <c r="A396" s="24" t="s">
        <v>235</v>
      </c>
      <c r="B396" s="25">
        <v>45680</v>
      </c>
      <c r="C396" s="26">
        <v>15560</v>
      </c>
      <c r="D396" s="27">
        <v>4.09</v>
      </c>
      <c r="E396" s="27">
        <v>3.27</v>
      </c>
      <c r="F396" s="27">
        <v>250</v>
      </c>
      <c r="G396" s="28">
        <v>7</v>
      </c>
    </row>
    <row r="397" spans="1:7" x14ac:dyDescent="0.35">
      <c r="A397" s="24" t="s">
        <v>235</v>
      </c>
      <c r="B397" s="25">
        <v>45698</v>
      </c>
      <c r="C397" s="26">
        <v>15684</v>
      </c>
      <c r="D397" s="27">
        <v>3.88</v>
      </c>
      <c r="E397" s="27">
        <v>3.26</v>
      </c>
      <c r="F397" s="27">
        <v>375</v>
      </c>
      <c r="G397" s="28">
        <v>9</v>
      </c>
    </row>
    <row r="398" spans="1:7" x14ac:dyDescent="0.35">
      <c r="A398" s="24" t="s">
        <v>235</v>
      </c>
      <c r="B398" s="25">
        <v>45701</v>
      </c>
      <c r="C398" s="26">
        <v>15684</v>
      </c>
      <c r="D398" s="27">
        <v>3.7</v>
      </c>
      <c r="E398" s="27">
        <v>3.17</v>
      </c>
      <c r="F398" s="27">
        <v>401</v>
      </c>
      <c r="G398" s="28">
        <v>10</v>
      </c>
    </row>
    <row r="399" spans="1:7" x14ac:dyDescent="0.35">
      <c r="A399" s="24" t="s">
        <v>235</v>
      </c>
      <c r="B399" s="25">
        <v>45727</v>
      </c>
      <c r="C399" s="26">
        <v>17267</v>
      </c>
      <c r="D399" s="27">
        <v>3.96</v>
      </c>
      <c r="E399" s="27">
        <v>3.16</v>
      </c>
      <c r="F399" s="27">
        <v>327</v>
      </c>
      <c r="G399" s="28">
        <v>5</v>
      </c>
    </row>
    <row r="400" spans="1:7" x14ac:dyDescent="0.35">
      <c r="A400" s="24" t="s">
        <v>235</v>
      </c>
      <c r="B400" s="25">
        <v>45730</v>
      </c>
      <c r="C400" s="26">
        <v>17267</v>
      </c>
      <c r="D400" s="27">
        <v>3.87</v>
      </c>
      <c r="E400" s="27">
        <v>3.34</v>
      </c>
      <c r="F400" s="27">
        <v>478</v>
      </c>
      <c r="G400" s="28">
        <v>8</v>
      </c>
    </row>
    <row r="401" spans="1:7" x14ac:dyDescent="0.35">
      <c r="A401" s="24" t="s">
        <v>235</v>
      </c>
      <c r="B401" s="25">
        <v>45754</v>
      </c>
      <c r="C401" s="26">
        <v>19855</v>
      </c>
      <c r="D401" s="27">
        <v>3.86</v>
      </c>
      <c r="E401" s="27">
        <v>3.23</v>
      </c>
      <c r="F401" s="26">
        <v>800</v>
      </c>
      <c r="G401" s="28">
        <v>36</v>
      </c>
    </row>
    <row r="402" spans="1:7" x14ac:dyDescent="0.35">
      <c r="A402" s="29" t="s">
        <v>235</v>
      </c>
      <c r="B402" s="30">
        <v>45762</v>
      </c>
      <c r="C402" s="31">
        <v>19855</v>
      </c>
      <c r="D402" s="32">
        <v>3.85</v>
      </c>
      <c r="E402" s="32">
        <v>3.45</v>
      </c>
      <c r="F402" s="32">
        <v>789</v>
      </c>
      <c r="G402" s="33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248F-CB78-4C0C-8CE1-01376D5F9993}">
  <dimension ref="A1:CA1070"/>
  <sheetViews>
    <sheetView zoomScale="85" zoomScaleNormal="85" workbookViewId="0">
      <pane ySplit="1" topLeftCell="A2" activePane="bottomLeft" state="frozen"/>
      <selection pane="bottomLeft" activeCell="A9" sqref="A9:XFD9"/>
    </sheetView>
  </sheetViews>
  <sheetFormatPr defaultColWidth="19.90625" defaultRowHeight="15.5" x14ac:dyDescent="0.35"/>
  <cols>
    <col min="1" max="1" width="24.90625" style="4" bestFit="1" customWidth="1"/>
    <col min="2" max="2" width="19.90625" style="4" customWidth="1"/>
    <col min="3" max="3" width="22" style="4" customWidth="1"/>
    <col min="4" max="4" width="44.26953125" style="4" customWidth="1"/>
    <col min="5" max="5" width="41.90625" style="4" customWidth="1"/>
    <col min="6" max="6" width="46.7265625" style="4" customWidth="1"/>
    <col min="7" max="7" width="25.81640625" style="4" customWidth="1"/>
    <col min="8" max="8" width="38.6328125" style="4" customWidth="1"/>
    <col min="9" max="9" width="46.7265625" style="4" customWidth="1"/>
    <col min="10" max="10" width="25.54296875" style="4" customWidth="1"/>
    <col min="11" max="11" width="31.36328125" style="4" customWidth="1"/>
    <col min="12" max="12" width="22.1796875" style="4" customWidth="1"/>
    <col min="13" max="13" width="19.90625" style="4" customWidth="1"/>
    <col min="14" max="14" width="22.7265625" style="4" customWidth="1"/>
    <col min="15" max="15" width="37.08984375" style="4" customWidth="1"/>
    <col min="16" max="16" width="41.1796875" style="4" customWidth="1"/>
    <col min="17" max="17" width="34.36328125" style="4" customWidth="1"/>
    <col min="18" max="18" width="26.7265625" style="4" customWidth="1"/>
    <col min="19" max="20" width="26.7265625" style="6" customWidth="1"/>
    <col min="21" max="21" width="48" style="4" customWidth="1"/>
    <col min="22" max="22" width="26.36328125" style="4" customWidth="1"/>
    <col min="23" max="23" width="24.26953125" style="4" customWidth="1"/>
    <col min="24" max="24" width="34.7265625" style="4" customWidth="1"/>
    <col min="25" max="25" width="19.90625" style="4" customWidth="1"/>
    <col min="26" max="26" width="30.453125" style="4" customWidth="1"/>
    <col min="27" max="27" width="25.453125" style="4" customWidth="1"/>
    <col min="28" max="28" width="52.54296875" style="4" customWidth="1"/>
    <col min="29" max="29" width="33.26953125" style="5" customWidth="1"/>
    <col min="30" max="30" width="32.1796875" style="8" customWidth="1"/>
    <col min="31" max="32" width="19.90625" style="5" customWidth="1"/>
    <col min="33" max="33" width="31.36328125" style="4" customWidth="1"/>
    <col min="34" max="34" width="26" style="4" customWidth="1"/>
    <col min="35" max="35" width="34.36328125" style="4" customWidth="1"/>
    <col min="36" max="36" width="33.54296875" style="4" customWidth="1"/>
    <col min="37" max="37" width="26.90625" style="4" customWidth="1"/>
    <col min="38" max="38" width="41.7265625" style="4" customWidth="1"/>
    <col min="39" max="39" width="46.6328125" style="4" customWidth="1"/>
    <col min="40" max="40" width="33" style="4" customWidth="1"/>
    <col min="41" max="41" width="35" style="4" customWidth="1"/>
    <col min="42" max="42" width="39" style="17" customWidth="1"/>
    <col min="43" max="44" width="19.90625" style="8" customWidth="1"/>
    <col min="45" max="45" width="35.90625" style="4" customWidth="1"/>
    <col min="46" max="46" width="25.7265625" style="4" customWidth="1"/>
    <col min="47" max="47" width="44.453125" style="4" customWidth="1"/>
    <col min="48" max="48" width="42.36328125" style="4" customWidth="1"/>
    <col min="49" max="49" width="21.54296875" style="4" customWidth="1"/>
    <col min="50" max="50" width="33.36328125" style="4" customWidth="1"/>
    <col min="51" max="51" width="36.54296875" style="4" customWidth="1"/>
    <col min="52" max="52" width="30.81640625" style="4" customWidth="1"/>
    <col min="53" max="53" width="27" style="4" customWidth="1"/>
    <col min="54" max="54" width="43.90625" style="4" customWidth="1"/>
    <col min="55" max="55" width="46.7265625" style="4" customWidth="1"/>
    <col min="56" max="56" width="33.26953125" style="4" customWidth="1"/>
    <col min="57" max="57" width="19.90625" style="4" customWidth="1"/>
    <col min="58" max="58" width="37" style="4" customWidth="1"/>
    <col min="59" max="59" width="20.453125" style="4" customWidth="1"/>
    <col min="60" max="60" width="20.1796875" style="4" customWidth="1"/>
    <col min="61" max="61" width="37.26953125" style="4" customWidth="1"/>
    <col min="62" max="62" width="40.81640625" style="4" customWidth="1"/>
    <col min="63" max="63" width="23" style="4" customWidth="1"/>
    <col min="64" max="64" width="35.7265625" style="4" customWidth="1"/>
    <col min="65" max="65" width="41.1796875" style="4" customWidth="1"/>
    <col min="66" max="66" width="32.6328125" style="4" customWidth="1"/>
    <col min="67" max="68" width="40.81640625" style="4" customWidth="1"/>
    <col min="69" max="69" width="47.1796875" style="4" customWidth="1"/>
    <col min="70" max="70" width="45.6328125" style="4" customWidth="1"/>
    <col min="71" max="71" width="46.7265625" style="4" customWidth="1"/>
    <col min="72" max="73" width="32.6328125" style="4" customWidth="1"/>
    <col min="74" max="75" width="46.7265625" style="4" customWidth="1"/>
    <col min="76" max="76" width="59.08984375" style="4" bestFit="1" customWidth="1"/>
    <col min="77" max="77" width="46.7265625" style="4" customWidth="1"/>
    <col min="78" max="78" width="19.90625" style="4"/>
    <col min="79" max="79" width="19.90625" style="18"/>
    <col min="80" max="80" width="19.90625" style="8"/>
    <col min="81" max="81" width="41.81640625" style="8" customWidth="1"/>
    <col min="82" max="82" width="37.54296875" style="8" bestFit="1" customWidth="1"/>
    <col min="83" max="83" width="42.7265625" style="8" customWidth="1"/>
    <col min="84" max="84" width="31" style="8" customWidth="1"/>
    <col min="85" max="16384" width="19.90625" style="8"/>
  </cols>
  <sheetData>
    <row r="1" spans="1:79" s="3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2" t="s">
        <v>77</v>
      </c>
    </row>
    <row r="2" spans="1:79" ht="46.5" x14ac:dyDescent="0.35">
      <c r="A2" s="4" t="s">
        <v>78</v>
      </c>
      <c r="B2" s="4" t="s">
        <v>79</v>
      </c>
      <c r="C2" s="4" t="s">
        <v>79</v>
      </c>
      <c r="D2" s="4">
        <v>11</v>
      </c>
      <c r="E2" s="5" t="s">
        <v>80</v>
      </c>
      <c r="F2" s="4">
        <v>2</v>
      </c>
      <c r="G2" s="4" t="s">
        <v>79</v>
      </c>
      <c r="H2" s="4" t="s">
        <v>81</v>
      </c>
      <c r="I2" s="4" t="s">
        <v>79</v>
      </c>
      <c r="J2" s="4" t="s">
        <v>82</v>
      </c>
      <c r="K2" s="4" t="s">
        <v>83</v>
      </c>
      <c r="L2" s="4" t="s">
        <v>84</v>
      </c>
      <c r="M2" s="5" t="s">
        <v>85</v>
      </c>
      <c r="N2" s="4" t="s">
        <v>86</v>
      </c>
      <c r="O2" s="4">
        <v>6</v>
      </c>
      <c r="P2" s="4">
        <v>45</v>
      </c>
      <c r="Q2" s="4" t="s">
        <v>80</v>
      </c>
      <c r="R2" s="4">
        <v>2</v>
      </c>
      <c r="S2" s="6" t="s">
        <v>87</v>
      </c>
      <c r="T2" s="6">
        <v>12</v>
      </c>
      <c r="U2" s="4" t="s">
        <v>88</v>
      </c>
      <c r="V2" s="4" t="s">
        <v>79</v>
      </c>
      <c r="W2" s="5" t="s">
        <v>79</v>
      </c>
      <c r="X2" s="4" t="s">
        <v>89</v>
      </c>
      <c r="Y2" s="4" t="s">
        <v>80</v>
      </c>
      <c r="Z2" s="4" t="s">
        <v>90</v>
      </c>
      <c r="AA2" s="4" t="s">
        <v>79</v>
      </c>
      <c r="AB2" s="4" t="s">
        <v>91</v>
      </c>
      <c r="AC2" s="7" t="s">
        <v>92</v>
      </c>
      <c r="AD2" s="8" t="s">
        <v>93</v>
      </c>
      <c r="AE2" s="9">
        <v>2.39</v>
      </c>
      <c r="AF2" s="5" t="s">
        <v>94</v>
      </c>
      <c r="AG2" s="4">
        <v>21</v>
      </c>
      <c r="AH2" s="4">
        <v>10</v>
      </c>
      <c r="AI2" s="4">
        <v>0</v>
      </c>
      <c r="AJ2" s="4">
        <v>0</v>
      </c>
      <c r="AK2" s="4">
        <v>31</v>
      </c>
      <c r="AL2" s="4">
        <v>430</v>
      </c>
      <c r="AM2" s="10">
        <v>20.476190476190474</v>
      </c>
      <c r="AN2" s="4" t="s">
        <v>79</v>
      </c>
      <c r="AO2" s="5" t="s">
        <v>95</v>
      </c>
      <c r="AP2" s="11" t="s">
        <v>96</v>
      </c>
      <c r="AQ2" s="8" t="s">
        <v>97</v>
      </c>
      <c r="AR2" s="8" t="s">
        <v>79</v>
      </c>
      <c r="AS2" s="5" t="s">
        <v>79</v>
      </c>
      <c r="AT2" s="4" t="s">
        <v>79</v>
      </c>
      <c r="AU2" s="4" t="s">
        <v>98</v>
      </c>
      <c r="AV2" s="4" t="s">
        <v>98</v>
      </c>
      <c r="AW2" s="4" t="s">
        <v>79</v>
      </c>
      <c r="AX2" s="4" t="s">
        <v>99</v>
      </c>
      <c r="AY2" s="4" t="s">
        <v>100</v>
      </c>
      <c r="AZ2" s="4" t="s">
        <v>90</v>
      </c>
      <c r="BA2" s="4" t="s">
        <v>90</v>
      </c>
      <c r="BB2" s="4" t="s">
        <v>101</v>
      </c>
      <c r="BC2" s="4" t="s">
        <v>79</v>
      </c>
      <c r="BD2" s="4" t="s">
        <v>95</v>
      </c>
      <c r="BE2" s="5" t="s">
        <v>79</v>
      </c>
      <c r="BF2" s="4" t="s">
        <v>102</v>
      </c>
      <c r="BG2" s="4" t="s">
        <v>103</v>
      </c>
      <c r="BH2" s="5" t="s">
        <v>79</v>
      </c>
      <c r="BI2" s="4" t="s">
        <v>104</v>
      </c>
      <c r="BJ2" s="4" t="s">
        <v>79</v>
      </c>
      <c r="BK2" s="4" t="s">
        <v>105</v>
      </c>
      <c r="BL2" s="4" t="s">
        <v>106</v>
      </c>
      <c r="BM2" s="4" t="s">
        <v>107</v>
      </c>
      <c r="BN2" s="4" t="s">
        <v>108</v>
      </c>
      <c r="BO2" s="4" t="s">
        <v>79</v>
      </c>
      <c r="BP2" s="6" t="s">
        <v>109</v>
      </c>
      <c r="BQ2" s="4" t="s">
        <v>110</v>
      </c>
      <c r="BR2" s="4" t="s">
        <v>111</v>
      </c>
      <c r="BS2" s="4" t="s">
        <v>80</v>
      </c>
      <c r="BT2" s="4" t="s">
        <v>79</v>
      </c>
      <c r="BU2" s="4" t="s">
        <v>112</v>
      </c>
      <c r="BV2" s="4" t="s">
        <v>113</v>
      </c>
      <c r="BW2" s="5" t="s">
        <v>114</v>
      </c>
      <c r="BX2" s="4" t="s">
        <v>115</v>
      </c>
      <c r="BY2" s="4">
        <v>1</v>
      </c>
      <c r="BZ2" s="12">
        <v>4</v>
      </c>
      <c r="CA2" s="8"/>
    </row>
    <row r="3" spans="1:79" ht="46.5" x14ac:dyDescent="0.35">
      <c r="A3" s="4" t="s">
        <v>116</v>
      </c>
      <c r="B3" s="4" t="s">
        <v>79</v>
      </c>
      <c r="C3" s="4" t="s">
        <v>79</v>
      </c>
      <c r="D3" s="4">
        <v>39</v>
      </c>
      <c r="E3" s="4" t="s">
        <v>79</v>
      </c>
      <c r="F3" s="4">
        <v>2</v>
      </c>
      <c r="G3" s="4" t="s">
        <v>79</v>
      </c>
      <c r="H3" s="4" t="s">
        <v>117</v>
      </c>
      <c r="I3" s="4" t="s">
        <v>79</v>
      </c>
      <c r="J3" s="4" t="s">
        <v>82</v>
      </c>
      <c r="K3" s="5" t="s">
        <v>118</v>
      </c>
      <c r="L3" s="4" t="s">
        <v>84</v>
      </c>
      <c r="M3" s="5" t="s">
        <v>85</v>
      </c>
      <c r="N3" s="4" t="s">
        <v>119</v>
      </c>
      <c r="O3" s="4">
        <v>12</v>
      </c>
      <c r="P3" s="4">
        <v>45</v>
      </c>
      <c r="Q3" s="4" t="s">
        <v>80</v>
      </c>
      <c r="R3" s="4">
        <v>2</v>
      </c>
      <c r="S3" s="6" t="s">
        <v>120</v>
      </c>
      <c r="T3" s="6">
        <v>12</v>
      </c>
      <c r="U3" s="4" t="s">
        <v>88</v>
      </c>
      <c r="V3" s="5" t="s">
        <v>79</v>
      </c>
      <c r="W3" s="5" t="s">
        <v>79</v>
      </c>
      <c r="X3" s="4" t="s">
        <v>89</v>
      </c>
      <c r="Y3" s="4" t="s">
        <v>80</v>
      </c>
      <c r="Z3" s="4" t="s">
        <v>90</v>
      </c>
      <c r="AA3" s="4" t="s">
        <v>79</v>
      </c>
      <c r="AB3" s="4" t="s">
        <v>121</v>
      </c>
      <c r="AC3" s="7" t="s">
        <v>122</v>
      </c>
      <c r="AD3" s="8" t="s">
        <v>93</v>
      </c>
      <c r="AE3" s="9">
        <v>2.0249999999999999</v>
      </c>
      <c r="AF3" s="5" t="s">
        <v>123</v>
      </c>
      <c r="AG3" s="4">
        <v>9</v>
      </c>
      <c r="AH3" s="4">
        <v>2</v>
      </c>
      <c r="AI3" s="4">
        <v>2</v>
      </c>
      <c r="AJ3" s="4">
        <v>0</v>
      </c>
      <c r="AK3" s="4">
        <v>13</v>
      </c>
      <c r="AL3" s="4">
        <v>160</v>
      </c>
      <c r="AM3" s="10">
        <v>17.777777777777779</v>
      </c>
      <c r="AN3" s="4" t="s">
        <v>79</v>
      </c>
      <c r="AO3" s="5" t="s">
        <v>95</v>
      </c>
      <c r="AP3" s="11" t="s">
        <v>96</v>
      </c>
      <c r="AQ3" s="7" t="s">
        <v>124</v>
      </c>
      <c r="AR3" s="7" t="s">
        <v>79</v>
      </c>
      <c r="AS3" s="5" t="s">
        <v>79</v>
      </c>
      <c r="AT3" s="4" t="s">
        <v>79</v>
      </c>
      <c r="AU3" s="4" t="s">
        <v>125</v>
      </c>
      <c r="AV3" s="5" t="s">
        <v>108</v>
      </c>
      <c r="AW3" s="5" t="s">
        <v>79</v>
      </c>
      <c r="AX3" s="4" t="s">
        <v>99</v>
      </c>
      <c r="AY3" s="4" t="s">
        <v>100</v>
      </c>
      <c r="AZ3" s="4" t="s">
        <v>90</v>
      </c>
      <c r="BA3" s="4" t="s">
        <v>90</v>
      </c>
      <c r="BB3" s="4" t="s">
        <v>126</v>
      </c>
      <c r="BC3" s="4" t="s">
        <v>79</v>
      </c>
      <c r="BD3" s="4" t="s">
        <v>95</v>
      </c>
      <c r="BE3" s="4" t="s">
        <v>80</v>
      </c>
      <c r="BF3" s="4" t="s">
        <v>127</v>
      </c>
      <c r="BG3" s="4" t="s">
        <v>103</v>
      </c>
      <c r="BH3" s="4" t="s">
        <v>79</v>
      </c>
      <c r="BI3" s="4" t="s">
        <v>104</v>
      </c>
      <c r="BJ3" s="4" t="s">
        <v>79</v>
      </c>
      <c r="BK3" s="5" t="s">
        <v>105</v>
      </c>
      <c r="BL3" s="4" t="s">
        <v>106</v>
      </c>
      <c r="BM3" s="4" t="s">
        <v>107</v>
      </c>
      <c r="BN3" s="5" t="s">
        <v>128</v>
      </c>
      <c r="BO3" s="4" t="s">
        <v>79</v>
      </c>
      <c r="BP3" s="6" t="s">
        <v>109</v>
      </c>
      <c r="BQ3" s="5" t="s">
        <v>129</v>
      </c>
      <c r="BR3" s="4" t="s">
        <v>111</v>
      </c>
      <c r="BS3" s="4" t="s">
        <v>80</v>
      </c>
      <c r="BT3" s="5" t="s">
        <v>79</v>
      </c>
      <c r="BU3" s="4" t="s">
        <v>112</v>
      </c>
      <c r="BV3" s="5" t="s">
        <v>108</v>
      </c>
      <c r="BW3" s="4" t="s">
        <v>80</v>
      </c>
      <c r="BX3" s="4" t="s">
        <v>130</v>
      </c>
      <c r="BY3" s="4">
        <v>1</v>
      </c>
      <c r="BZ3" s="4">
        <v>19</v>
      </c>
      <c r="CA3" s="8"/>
    </row>
    <row r="4" spans="1:79" ht="46.5" x14ac:dyDescent="0.35">
      <c r="A4" s="4" t="s">
        <v>131</v>
      </c>
      <c r="B4" s="5" t="s">
        <v>79</v>
      </c>
      <c r="C4" s="5" t="s">
        <v>79</v>
      </c>
      <c r="D4" s="4">
        <v>20</v>
      </c>
      <c r="E4" s="5" t="s">
        <v>80</v>
      </c>
      <c r="F4" s="4">
        <v>2</v>
      </c>
      <c r="G4" s="4" t="s">
        <v>79</v>
      </c>
      <c r="H4" s="4" t="s">
        <v>117</v>
      </c>
      <c r="I4" s="4" t="s">
        <v>79</v>
      </c>
      <c r="J4" s="4" t="s">
        <v>82</v>
      </c>
      <c r="K4" s="4" t="s">
        <v>118</v>
      </c>
      <c r="L4" s="4" t="s">
        <v>84</v>
      </c>
      <c r="M4" s="5" t="s">
        <v>85</v>
      </c>
      <c r="N4" s="4" t="s">
        <v>86</v>
      </c>
      <c r="O4" s="4">
        <v>6</v>
      </c>
      <c r="P4" s="4">
        <v>45</v>
      </c>
      <c r="Q4" s="5" t="s">
        <v>80</v>
      </c>
      <c r="R4" s="4">
        <v>2</v>
      </c>
      <c r="S4" s="6" t="s">
        <v>132</v>
      </c>
      <c r="T4" s="6">
        <v>12</v>
      </c>
      <c r="U4" s="4" t="s">
        <v>88</v>
      </c>
      <c r="V4" s="4" t="s">
        <v>80</v>
      </c>
      <c r="W4" s="5" t="s">
        <v>79</v>
      </c>
      <c r="X4" s="4" t="s">
        <v>133</v>
      </c>
      <c r="Y4" s="4" t="s">
        <v>80</v>
      </c>
      <c r="Z4" s="4" t="s">
        <v>90</v>
      </c>
      <c r="AA4" s="5" t="s">
        <v>79</v>
      </c>
      <c r="AB4" s="4" t="s">
        <v>134</v>
      </c>
      <c r="AC4" s="7" t="s">
        <v>135</v>
      </c>
      <c r="AD4" s="8" t="s">
        <v>93</v>
      </c>
      <c r="AE4" s="9">
        <v>2.4</v>
      </c>
      <c r="AF4" s="5" t="s">
        <v>123</v>
      </c>
      <c r="AG4" s="4">
        <v>32</v>
      </c>
      <c r="AH4" s="4">
        <v>26</v>
      </c>
      <c r="AI4" s="4">
        <v>0</v>
      </c>
      <c r="AJ4" s="4">
        <v>0</v>
      </c>
      <c r="AK4" s="4">
        <v>58</v>
      </c>
      <c r="AL4" s="4">
        <v>704</v>
      </c>
      <c r="AM4" s="4">
        <v>22</v>
      </c>
      <c r="AN4" s="4" t="s">
        <v>79</v>
      </c>
      <c r="AO4" s="5" t="s">
        <v>95</v>
      </c>
      <c r="AP4" s="11" t="s">
        <v>96</v>
      </c>
      <c r="AQ4" s="8" t="s">
        <v>124</v>
      </c>
      <c r="AR4" s="8" t="s">
        <v>80</v>
      </c>
      <c r="AS4" s="5" t="s">
        <v>79</v>
      </c>
      <c r="AT4" s="4" t="s">
        <v>79</v>
      </c>
      <c r="AU4" s="4" t="s">
        <v>125</v>
      </c>
      <c r="AV4" s="5" t="s">
        <v>108</v>
      </c>
      <c r="AW4" s="4" t="s">
        <v>80</v>
      </c>
      <c r="AX4" s="4" t="s">
        <v>90</v>
      </c>
      <c r="AY4" s="4" t="s">
        <v>90</v>
      </c>
      <c r="AZ4" s="4" t="s">
        <v>90</v>
      </c>
      <c r="BA4" s="4" t="s">
        <v>90</v>
      </c>
      <c r="BB4" s="4" t="s">
        <v>126</v>
      </c>
      <c r="BC4" s="5" t="s">
        <v>79</v>
      </c>
      <c r="BD4" s="4" t="s">
        <v>95</v>
      </c>
      <c r="BE4" s="5" t="s">
        <v>79</v>
      </c>
      <c r="BF4" s="4" t="s">
        <v>102</v>
      </c>
      <c r="BG4" s="4" t="s">
        <v>103</v>
      </c>
      <c r="BH4" s="5" t="s">
        <v>79</v>
      </c>
      <c r="BI4" s="4" t="s">
        <v>104</v>
      </c>
      <c r="BJ4" s="4" t="s">
        <v>79</v>
      </c>
      <c r="BK4" s="5" t="s">
        <v>105</v>
      </c>
      <c r="BL4" s="4" t="s">
        <v>106</v>
      </c>
      <c r="BM4" s="4" t="s">
        <v>107</v>
      </c>
      <c r="BN4" s="5" t="s">
        <v>128</v>
      </c>
      <c r="BO4" s="4" t="s">
        <v>79</v>
      </c>
      <c r="BP4" s="6" t="s">
        <v>136</v>
      </c>
      <c r="BQ4" s="4" t="s">
        <v>137</v>
      </c>
      <c r="BR4" s="4" t="s">
        <v>111</v>
      </c>
      <c r="BS4" s="5" t="s">
        <v>80</v>
      </c>
      <c r="BT4" s="5" t="s">
        <v>79</v>
      </c>
      <c r="BU4" s="5" t="s">
        <v>112</v>
      </c>
      <c r="BV4" s="4" t="s">
        <v>113</v>
      </c>
      <c r="BW4" s="4" t="s">
        <v>113</v>
      </c>
      <c r="BX4" s="4" t="s">
        <v>138</v>
      </c>
      <c r="BY4" s="4">
        <v>5</v>
      </c>
      <c r="BZ4" s="4">
        <v>20</v>
      </c>
      <c r="CA4" s="8"/>
    </row>
    <row r="5" spans="1:79" ht="46.5" x14ac:dyDescent="0.35">
      <c r="A5" s="4" t="s">
        <v>139</v>
      </c>
      <c r="B5" s="5" t="s">
        <v>79</v>
      </c>
      <c r="C5" s="5" t="s">
        <v>79</v>
      </c>
      <c r="D5" s="5">
        <v>10</v>
      </c>
      <c r="E5" s="5" t="s">
        <v>80</v>
      </c>
      <c r="F5" s="5">
        <v>2</v>
      </c>
      <c r="G5" s="5" t="s">
        <v>79</v>
      </c>
      <c r="H5" s="4" t="s">
        <v>117</v>
      </c>
      <c r="I5" s="5" t="s">
        <v>79</v>
      </c>
      <c r="J5" s="4" t="s">
        <v>82</v>
      </c>
      <c r="K5" s="5" t="s">
        <v>118</v>
      </c>
      <c r="L5" s="4" t="s">
        <v>84</v>
      </c>
      <c r="M5" s="5" t="s">
        <v>85</v>
      </c>
      <c r="N5" s="4" t="s">
        <v>86</v>
      </c>
      <c r="O5" s="5">
        <v>6</v>
      </c>
      <c r="P5" s="4">
        <v>45</v>
      </c>
      <c r="Q5" s="5" t="s">
        <v>80</v>
      </c>
      <c r="R5" s="5">
        <v>2</v>
      </c>
      <c r="S5" s="6" t="s">
        <v>87</v>
      </c>
      <c r="T5" s="13">
        <v>12</v>
      </c>
      <c r="U5" s="4" t="s">
        <v>88</v>
      </c>
      <c r="V5" s="5" t="s">
        <v>79</v>
      </c>
      <c r="W5" s="5" t="s">
        <v>79</v>
      </c>
      <c r="X5" s="4" t="s">
        <v>133</v>
      </c>
      <c r="Y5" s="4" t="s">
        <v>80</v>
      </c>
      <c r="Z5" s="4" t="s">
        <v>90</v>
      </c>
      <c r="AA5" s="5" t="s">
        <v>79</v>
      </c>
      <c r="AB5" s="5" t="s">
        <v>140</v>
      </c>
      <c r="AC5" s="7" t="s">
        <v>135</v>
      </c>
      <c r="AD5" s="8" t="s">
        <v>93</v>
      </c>
      <c r="AE5" s="9">
        <v>2.36</v>
      </c>
      <c r="AF5" s="5" t="s">
        <v>123</v>
      </c>
      <c r="AG5" s="5">
        <v>18</v>
      </c>
      <c r="AH5" s="5">
        <v>6</v>
      </c>
      <c r="AI5" s="5">
        <v>6</v>
      </c>
      <c r="AJ5" s="5">
        <v>0</v>
      </c>
      <c r="AK5" s="5">
        <v>30</v>
      </c>
      <c r="AL5" s="5">
        <v>230</v>
      </c>
      <c r="AM5" s="5">
        <v>12.8</v>
      </c>
      <c r="AN5" s="4" t="s">
        <v>79</v>
      </c>
      <c r="AO5" s="5" t="s">
        <v>95</v>
      </c>
      <c r="AP5" s="11" t="s">
        <v>96</v>
      </c>
      <c r="AQ5" s="8" t="s">
        <v>124</v>
      </c>
      <c r="AR5" s="7" t="s">
        <v>79</v>
      </c>
      <c r="AS5" s="5" t="s">
        <v>79</v>
      </c>
      <c r="AT5" s="4" t="s">
        <v>79</v>
      </c>
      <c r="AU5" s="4" t="s">
        <v>108</v>
      </c>
      <c r="AV5" s="5" t="s">
        <v>108</v>
      </c>
      <c r="AW5" s="5" t="s">
        <v>79</v>
      </c>
      <c r="AX5" s="5" t="s">
        <v>99</v>
      </c>
      <c r="AY5" s="5" t="s">
        <v>141</v>
      </c>
      <c r="AZ5" s="5" t="s">
        <v>79</v>
      </c>
      <c r="BA5" s="5" t="s">
        <v>142</v>
      </c>
      <c r="BB5" s="4" t="s">
        <v>126</v>
      </c>
      <c r="BC5" s="5" t="s">
        <v>79</v>
      </c>
      <c r="BD5" s="4" t="s">
        <v>95</v>
      </c>
      <c r="BE5" s="5" t="s">
        <v>79</v>
      </c>
      <c r="BF5" s="4" t="s">
        <v>102</v>
      </c>
      <c r="BG5" s="5" t="s">
        <v>143</v>
      </c>
      <c r="BH5" s="5" t="s">
        <v>79</v>
      </c>
      <c r="BI5" s="4" t="s">
        <v>104</v>
      </c>
      <c r="BJ5" s="4" t="s">
        <v>79</v>
      </c>
      <c r="BK5" s="5" t="s">
        <v>105</v>
      </c>
      <c r="BL5" s="4" t="s">
        <v>106</v>
      </c>
      <c r="BM5" s="4" t="s">
        <v>107</v>
      </c>
      <c r="BN5" s="5" t="s">
        <v>128</v>
      </c>
      <c r="BO5" s="4" t="s">
        <v>79</v>
      </c>
      <c r="BP5" s="13" t="s">
        <v>144</v>
      </c>
      <c r="BQ5" s="4" t="s">
        <v>137</v>
      </c>
      <c r="BR5" s="4" t="s">
        <v>111</v>
      </c>
      <c r="BS5" s="5" t="s">
        <v>80</v>
      </c>
      <c r="BT5" s="5" t="s">
        <v>79</v>
      </c>
      <c r="BU5" s="5" t="s">
        <v>112</v>
      </c>
      <c r="BV5" s="5" t="s">
        <v>108</v>
      </c>
      <c r="BW5" s="5" t="s">
        <v>145</v>
      </c>
      <c r="BX5" s="5" t="s">
        <v>146</v>
      </c>
      <c r="BY5" s="5">
        <v>3</v>
      </c>
      <c r="BZ5" s="4">
        <v>5</v>
      </c>
      <c r="CA5" s="8"/>
    </row>
    <row r="6" spans="1:79" ht="46.5" x14ac:dyDescent="0.35">
      <c r="A6" s="4" t="s">
        <v>147</v>
      </c>
      <c r="B6" s="4" t="s">
        <v>79</v>
      </c>
      <c r="C6" s="4" t="s">
        <v>79</v>
      </c>
      <c r="D6" s="5">
        <v>11</v>
      </c>
      <c r="E6" s="5" t="s">
        <v>80</v>
      </c>
      <c r="F6" s="4">
        <v>7</v>
      </c>
      <c r="G6" s="4" t="s">
        <v>79</v>
      </c>
      <c r="H6" s="4" t="s">
        <v>117</v>
      </c>
      <c r="I6" s="4" t="s">
        <v>80</v>
      </c>
      <c r="J6" s="4" t="s">
        <v>80</v>
      </c>
      <c r="K6" s="4" t="s">
        <v>118</v>
      </c>
      <c r="L6" s="4" t="s">
        <v>84</v>
      </c>
      <c r="M6" s="4" t="s">
        <v>85</v>
      </c>
      <c r="N6" s="4" t="s">
        <v>86</v>
      </c>
      <c r="O6" s="4">
        <v>6</v>
      </c>
      <c r="P6" s="4">
        <v>45</v>
      </c>
      <c r="Q6" s="4" t="s">
        <v>80</v>
      </c>
      <c r="R6" s="4">
        <v>2</v>
      </c>
      <c r="S6" s="6" t="s">
        <v>148</v>
      </c>
      <c r="T6" s="6">
        <v>11</v>
      </c>
      <c r="U6" s="4" t="s">
        <v>88</v>
      </c>
      <c r="V6" s="4" t="s">
        <v>79</v>
      </c>
      <c r="W6" s="4" t="s">
        <v>79</v>
      </c>
      <c r="X6" s="4" t="s">
        <v>133</v>
      </c>
      <c r="Y6" s="4" t="s">
        <v>80</v>
      </c>
      <c r="Z6" s="4" t="s">
        <v>90</v>
      </c>
      <c r="AA6" s="4" t="s">
        <v>79</v>
      </c>
      <c r="AB6" s="4" t="s">
        <v>121</v>
      </c>
      <c r="AC6" s="7" t="s">
        <v>135</v>
      </c>
      <c r="AD6" s="8" t="s">
        <v>93</v>
      </c>
      <c r="AE6" s="9">
        <v>2.29</v>
      </c>
      <c r="AF6" s="5" t="s">
        <v>149</v>
      </c>
      <c r="AG6" s="4">
        <v>30</v>
      </c>
      <c r="AH6" s="4">
        <v>5</v>
      </c>
      <c r="AI6" s="4">
        <v>0</v>
      </c>
      <c r="AJ6" s="4">
        <v>1</v>
      </c>
      <c r="AK6" s="4">
        <v>36</v>
      </c>
      <c r="AL6" s="4">
        <v>400</v>
      </c>
      <c r="AM6" s="10">
        <v>13.333333333333334</v>
      </c>
      <c r="AN6" s="4" t="s">
        <v>79</v>
      </c>
      <c r="AO6" s="4" t="s">
        <v>95</v>
      </c>
      <c r="AP6" s="11" t="s">
        <v>96</v>
      </c>
      <c r="AQ6" s="8" t="s">
        <v>124</v>
      </c>
      <c r="AR6" s="8" t="s">
        <v>79</v>
      </c>
      <c r="AS6" s="4" t="s">
        <v>79</v>
      </c>
      <c r="AT6" s="4" t="s">
        <v>79</v>
      </c>
      <c r="AU6" s="4" t="s">
        <v>125</v>
      </c>
      <c r="AV6" s="4" t="s">
        <v>108</v>
      </c>
      <c r="AW6" s="4" t="s">
        <v>79</v>
      </c>
      <c r="AX6" s="4" t="s">
        <v>150</v>
      </c>
      <c r="AY6" s="4" t="s">
        <v>100</v>
      </c>
      <c r="AZ6" s="4" t="s">
        <v>90</v>
      </c>
      <c r="BA6" s="4" t="s">
        <v>90</v>
      </c>
      <c r="BB6" s="4" t="s">
        <v>151</v>
      </c>
      <c r="BC6" s="4" t="s">
        <v>79</v>
      </c>
      <c r="BD6" s="4" t="s">
        <v>95</v>
      </c>
      <c r="BE6" s="4" t="s">
        <v>79</v>
      </c>
      <c r="BF6" s="4" t="s">
        <v>102</v>
      </c>
      <c r="BG6" s="4" t="s">
        <v>103</v>
      </c>
      <c r="BH6" s="4" t="s">
        <v>79</v>
      </c>
      <c r="BI6" s="4" t="s">
        <v>152</v>
      </c>
      <c r="BJ6" s="4" t="s">
        <v>79</v>
      </c>
      <c r="BK6" s="5" t="s">
        <v>105</v>
      </c>
      <c r="BL6" s="4" t="s">
        <v>106</v>
      </c>
      <c r="BM6" s="4" t="s">
        <v>107</v>
      </c>
      <c r="BN6" s="5" t="s">
        <v>128</v>
      </c>
      <c r="BO6" s="4" t="s">
        <v>79</v>
      </c>
      <c r="BP6" s="6" t="s">
        <v>153</v>
      </c>
      <c r="BQ6" s="4" t="s">
        <v>154</v>
      </c>
      <c r="BR6" s="4" t="s">
        <v>111</v>
      </c>
      <c r="BS6" s="4" t="s">
        <v>80</v>
      </c>
      <c r="BT6" s="4" t="s">
        <v>79</v>
      </c>
      <c r="BU6" s="4" t="s">
        <v>112</v>
      </c>
      <c r="BV6" s="4" t="s">
        <v>113</v>
      </c>
      <c r="BW6" s="4" t="s">
        <v>145</v>
      </c>
      <c r="BX6" s="4" t="s">
        <v>155</v>
      </c>
      <c r="BY6" s="4">
        <v>3</v>
      </c>
      <c r="BZ6" s="4">
        <v>20</v>
      </c>
      <c r="CA6" s="8"/>
    </row>
    <row r="7" spans="1:79" ht="46.5" x14ac:dyDescent="0.35">
      <c r="A7" s="4" t="s">
        <v>156</v>
      </c>
      <c r="B7" s="4" t="s">
        <v>79</v>
      </c>
      <c r="C7" s="4" t="s">
        <v>79</v>
      </c>
      <c r="D7" s="4">
        <v>11</v>
      </c>
      <c r="E7" s="5" t="s">
        <v>80</v>
      </c>
      <c r="F7" s="4">
        <v>5</v>
      </c>
      <c r="G7" s="4" t="s">
        <v>79</v>
      </c>
      <c r="H7" s="4" t="s">
        <v>117</v>
      </c>
      <c r="I7" s="4" t="s">
        <v>79</v>
      </c>
      <c r="J7" s="4" t="s">
        <v>80</v>
      </c>
      <c r="K7" s="4" t="s">
        <v>83</v>
      </c>
      <c r="L7" s="4" t="s">
        <v>157</v>
      </c>
      <c r="M7" s="4" t="s">
        <v>158</v>
      </c>
      <c r="N7" s="4" t="s">
        <v>90</v>
      </c>
      <c r="O7" s="4">
        <v>6</v>
      </c>
      <c r="P7" s="4">
        <v>45</v>
      </c>
      <c r="Q7" s="4" t="s">
        <v>80</v>
      </c>
      <c r="R7" s="4">
        <v>2</v>
      </c>
      <c r="S7" s="6" t="s">
        <v>159</v>
      </c>
      <c r="T7" s="6">
        <v>12</v>
      </c>
      <c r="U7" s="4" t="s">
        <v>88</v>
      </c>
      <c r="V7" s="4" t="s">
        <v>79</v>
      </c>
      <c r="W7" s="4" t="s">
        <v>79</v>
      </c>
      <c r="X7" s="4" t="s">
        <v>133</v>
      </c>
      <c r="Y7" s="4" t="s">
        <v>80</v>
      </c>
      <c r="Z7" s="4" t="s">
        <v>90</v>
      </c>
      <c r="AA7" s="4" t="s">
        <v>79</v>
      </c>
      <c r="AB7" s="4" t="s">
        <v>121</v>
      </c>
      <c r="AC7" s="7" t="s">
        <v>160</v>
      </c>
      <c r="AD7" s="8" t="s">
        <v>93</v>
      </c>
      <c r="AE7" s="9">
        <v>2.4900000000000002</v>
      </c>
      <c r="AF7" s="5" t="s">
        <v>149</v>
      </c>
      <c r="AG7" s="4">
        <v>40</v>
      </c>
      <c r="AH7" s="4">
        <v>3</v>
      </c>
      <c r="AI7" s="4">
        <v>0</v>
      </c>
      <c r="AJ7" s="4">
        <v>0</v>
      </c>
      <c r="AK7" s="4">
        <v>43</v>
      </c>
      <c r="AL7" s="4">
        <v>1200</v>
      </c>
      <c r="AM7" s="4">
        <v>30</v>
      </c>
      <c r="AN7" s="4" t="s">
        <v>79</v>
      </c>
      <c r="AO7" s="5" t="s">
        <v>95</v>
      </c>
      <c r="AP7" s="11" t="s">
        <v>96</v>
      </c>
      <c r="AQ7" s="8" t="s">
        <v>124</v>
      </c>
      <c r="AR7" s="8" t="s">
        <v>80</v>
      </c>
      <c r="AS7" s="4" t="s">
        <v>79</v>
      </c>
      <c r="AT7" s="4" t="s">
        <v>79</v>
      </c>
      <c r="AU7" s="4" t="s">
        <v>108</v>
      </c>
      <c r="AV7" s="4" t="s">
        <v>108</v>
      </c>
      <c r="AW7" s="4" t="s">
        <v>79</v>
      </c>
      <c r="AX7" s="4" t="s">
        <v>150</v>
      </c>
      <c r="AY7" s="4" t="s">
        <v>100</v>
      </c>
      <c r="AZ7" s="4" t="s">
        <v>79</v>
      </c>
      <c r="BA7" s="5" t="s">
        <v>161</v>
      </c>
      <c r="BB7" s="4" t="s">
        <v>126</v>
      </c>
      <c r="BC7" s="4" t="s">
        <v>79</v>
      </c>
      <c r="BD7" s="4" t="s">
        <v>162</v>
      </c>
      <c r="BE7" s="4" t="s">
        <v>79</v>
      </c>
      <c r="BF7" s="4" t="s">
        <v>102</v>
      </c>
      <c r="BG7" s="4" t="s">
        <v>103</v>
      </c>
      <c r="BH7" s="4" t="s">
        <v>79</v>
      </c>
      <c r="BI7" s="4" t="s">
        <v>163</v>
      </c>
      <c r="BJ7" s="4" t="s">
        <v>79</v>
      </c>
      <c r="BK7" s="4" t="s">
        <v>105</v>
      </c>
      <c r="BL7" s="4" t="s">
        <v>106</v>
      </c>
      <c r="BM7" s="4" t="s">
        <v>107</v>
      </c>
      <c r="BN7" s="4" t="s">
        <v>108</v>
      </c>
      <c r="BO7" s="4" t="s">
        <v>79</v>
      </c>
      <c r="BP7" s="6" t="s">
        <v>164</v>
      </c>
      <c r="BQ7" s="4" t="s">
        <v>165</v>
      </c>
      <c r="BR7" s="4" t="s">
        <v>111</v>
      </c>
      <c r="BS7" s="4" t="s">
        <v>80</v>
      </c>
      <c r="BT7" s="4" t="s">
        <v>79</v>
      </c>
      <c r="BU7" s="4" t="s">
        <v>112</v>
      </c>
      <c r="BV7" s="4" t="s">
        <v>125</v>
      </c>
      <c r="BW7" s="4" t="s">
        <v>79</v>
      </c>
      <c r="BX7" s="4" t="s">
        <v>166</v>
      </c>
      <c r="BY7" s="4">
        <v>5</v>
      </c>
      <c r="BZ7" s="4">
        <v>20</v>
      </c>
      <c r="CA7" s="8"/>
    </row>
    <row r="8" spans="1:79" ht="46.5" x14ac:dyDescent="0.35">
      <c r="A8" s="4" t="s">
        <v>167</v>
      </c>
      <c r="B8" s="4" t="s">
        <v>79</v>
      </c>
      <c r="C8" s="4" t="s">
        <v>79</v>
      </c>
      <c r="D8" s="4">
        <v>10</v>
      </c>
      <c r="E8" s="4" t="s">
        <v>80</v>
      </c>
      <c r="F8" s="4">
        <v>4</v>
      </c>
      <c r="G8" s="4" t="s">
        <v>79</v>
      </c>
      <c r="H8" s="4" t="s">
        <v>168</v>
      </c>
      <c r="I8" s="4" t="s">
        <v>79</v>
      </c>
      <c r="J8" s="4" t="s">
        <v>82</v>
      </c>
      <c r="K8" s="4" t="s">
        <v>118</v>
      </c>
      <c r="L8" s="4" t="s">
        <v>84</v>
      </c>
      <c r="M8" s="4" t="s">
        <v>158</v>
      </c>
      <c r="N8" s="4" t="s">
        <v>90</v>
      </c>
      <c r="O8" s="4">
        <v>6</v>
      </c>
      <c r="P8" s="4">
        <v>45</v>
      </c>
      <c r="Q8" s="4" t="s">
        <v>80</v>
      </c>
      <c r="R8" s="4">
        <v>2</v>
      </c>
      <c r="S8" s="6" t="s">
        <v>169</v>
      </c>
      <c r="T8" s="6">
        <v>12</v>
      </c>
      <c r="U8" s="4" t="s">
        <v>88</v>
      </c>
      <c r="V8" s="4" t="s">
        <v>79</v>
      </c>
      <c r="W8" s="4" t="s">
        <v>79</v>
      </c>
      <c r="X8" s="4" t="s">
        <v>133</v>
      </c>
      <c r="Y8" s="4" t="s">
        <v>80</v>
      </c>
      <c r="Z8" s="4" t="s">
        <v>90</v>
      </c>
      <c r="AA8" s="4" t="s">
        <v>79</v>
      </c>
      <c r="AB8" s="4" t="s">
        <v>140</v>
      </c>
      <c r="AC8" s="7" t="s">
        <v>135</v>
      </c>
      <c r="AD8" s="8" t="s">
        <v>93</v>
      </c>
      <c r="AE8" s="9">
        <v>2.0249999999999999</v>
      </c>
      <c r="AF8" s="5" t="s">
        <v>149</v>
      </c>
      <c r="AG8" s="4">
        <v>13</v>
      </c>
      <c r="AH8" s="4">
        <v>4</v>
      </c>
      <c r="AI8" s="4">
        <v>0</v>
      </c>
      <c r="AJ8" s="4">
        <v>0</v>
      </c>
      <c r="AK8" s="4">
        <v>17</v>
      </c>
      <c r="AL8" s="4">
        <v>200</v>
      </c>
      <c r="AM8" s="4">
        <v>11.7</v>
      </c>
      <c r="AN8" s="4" t="s">
        <v>79</v>
      </c>
      <c r="AO8" s="5" t="s">
        <v>95</v>
      </c>
      <c r="AP8" s="11" t="s">
        <v>96</v>
      </c>
      <c r="AQ8" s="8" t="s">
        <v>124</v>
      </c>
      <c r="AR8" s="8" t="s">
        <v>79</v>
      </c>
      <c r="AS8" s="4" t="s">
        <v>79</v>
      </c>
      <c r="AT8" s="4" t="s">
        <v>79</v>
      </c>
      <c r="AU8" s="4" t="s">
        <v>98</v>
      </c>
      <c r="AV8" s="4" t="s">
        <v>108</v>
      </c>
      <c r="AW8" s="4" t="s">
        <v>79</v>
      </c>
      <c r="AX8" s="4" t="s">
        <v>99</v>
      </c>
      <c r="AY8" s="4" t="s">
        <v>100</v>
      </c>
      <c r="AZ8" s="4" t="s">
        <v>90</v>
      </c>
      <c r="BA8" s="4" t="s">
        <v>90</v>
      </c>
      <c r="BB8" s="4" t="s">
        <v>126</v>
      </c>
      <c r="BC8" s="4" t="s">
        <v>79</v>
      </c>
      <c r="BD8" s="4" t="s">
        <v>95</v>
      </c>
      <c r="BE8" s="4" t="s">
        <v>79</v>
      </c>
      <c r="BF8" s="4" t="s">
        <v>170</v>
      </c>
      <c r="BG8" s="4" t="s">
        <v>103</v>
      </c>
      <c r="BH8" s="4" t="s">
        <v>79</v>
      </c>
      <c r="BI8" s="4" t="s">
        <v>104</v>
      </c>
      <c r="BJ8" s="4" t="s">
        <v>79</v>
      </c>
      <c r="BK8" s="5" t="s">
        <v>105</v>
      </c>
      <c r="BL8" s="4" t="s">
        <v>106</v>
      </c>
      <c r="BM8" s="4" t="s">
        <v>107</v>
      </c>
      <c r="BN8" s="5" t="s">
        <v>128</v>
      </c>
      <c r="BO8" s="4" t="s">
        <v>79</v>
      </c>
      <c r="BP8" s="13" t="s">
        <v>144</v>
      </c>
      <c r="BQ8" s="4" t="s">
        <v>154</v>
      </c>
      <c r="BR8" s="4" t="s">
        <v>111</v>
      </c>
      <c r="BS8" s="4" t="s">
        <v>79</v>
      </c>
      <c r="BT8" s="4" t="s">
        <v>79</v>
      </c>
      <c r="BU8" s="4" t="s">
        <v>112</v>
      </c>
      <c r="BV8" s="4" t="s">
        <v>113</v>
      </c>
      <c r="BW8" s="4" t="s">
        <v>80</v>
      </c>
      <c r="BX8" s="4" t="s">
        <v>115</v>
      </c>
      <c r="BY8" s="4">
        <v>1</v>
      </c>
      <c r="BZ8" s="4">
        <v>6</v>
      </c>
      <c r="CA8" s="8"/>
    </row>
    <row r="9" spans="1:79" ht="46.5" x14ac:dyDescent="0.35">
      <c r="A9" s="4" t="s">
        <v>171</v>
      </c>
      <c r="B9" s="4" t="s">
        <v>79</v>
      </c>
      <c r="C9" s="4" t="s">
        <v>79</v>
      </c>
      <c r="D9" s="4">
        <v>12</v>
      </c>
      <c r="E9" s="4" t="s">
        <v>79</v>
      </c>
      <c r="F9" s="4">
        <v>3</v>
      </c>
      <c r="G9" s="4" t="s">
        <v>79</v>
      </c>
      <c r="H9" s="4" t="s">
        <v>117</v>
      </c>
      <c r="I9" s="4" t="s">
        <v>79</v>
      </c>
      <c r="J9" s="4" t="s">
        <v>172</v>
      </c>
      <c r="K9" s="4" t="s">
        <v>83</v>
      </c>
      <c r="L9" s="4" t="s">
        <v>84</v>
      </c>
      <c r="M9" s="4" t="s">
        <v>85</v>
      </c>
      <c r="N9" s="4" t="s">
        <v>86</v>
      </c>
      <c r="O9" s="4">
        <v>6</v>
      </c>
      <c r="P9" s="4">
        <v>40</v>
      </c>
      <c r="Q9" s="4" t="s">
        <v>80</v>
      </c>
      <c r="R9" s="4">
        <v>2</v>
      </c>
      <c r="S9" s="14" t="s">
        <v>169</v>
      </c>
      <c r="T9" s="6">
        <v>12</v>
      </c>
      <c r="U9" s="4" t="s">
        <v>88</v>
      </c>
      <c r="V9" s="4" t="s">
        <v>79</v>
      </c>
      <c r="W9" s="4" t="s">
        <v>79</v>
      </c>
      <c r="X9" s="4" t="s">
        <v>173</v>
      </c>
      <c r="Y9" s="4" t="s">
        <v>80</v>
      </c>
      <c r="Z9" s="4" t="s">
        <v>90</v>
      </c>
      <c r="AA9" s="4" t="s">
        <v>79</v>
      </c>
      <c r="AB9" s="4" t="s">
        <v>134</v>
      </c>
      <c r="AC9" s="7" t="s">
        <v>135</v>
      </c>
      <c r="AD9" s="8" t="s">
        <v>93</v>
      </c>
      <c r="AE9" s="9">
        <v>2.29</v>
      </c>
      <c r="AF9" s="5" t="s">
        <v>149</v>
      </c>
      <c r="AG9" s="4">
        <v>23</v>
      </c>
      <c r="AH9" s="4">
        <v>5</v>
      </c>
      <c r="AI9" s="4">
        <v>6</v>
      </c>
      <c r="AJ9" s="4">
        <v>16</v>
      </c>
      <c r="AK9" s="4">
        <v>50</v>
      </c>
      <c r="AL9" s="4">
        <v>530</v>
      </c>
      <c r="AM9" s="4">
        <v>23</v>
      </c>
      <c r="AN9" s="4" t="s">
        <v>79</v>
      </c>
      <c r="AO9" s="5" t="s">
        <v>95</v>
      </c>
      <c r="AP9" s="11" t="s">
        <v>96</v>
      </c>
      <c r="AQ9" s="8" t="s">
        <v>124</v>
      </c>
      <c r="AR9" s="8" t="s">
        <v>79</v>
      </c>
      <c r="AS9" s="4" t="s">
        <v>79</v>
      </c>
      <c r="AT9" s="4" t="s">
        <v>79</v>
      </c>
      <c r="AU9" s="4" t="s">
        <v>98</v>
      </c>
      <c r="AV9" s="4" t="s">
        <v>108</v>
      </c>
      <c r="AW9" s="4" t="s">
        <v>79</v>
      </c>
      <c r="AX9" s="4" t="s">
        <v>174</v>
      </c>
      <c r="AY9" s="4" t="s">
        <v>175</v>
      </c>
      <c r="AZ9" s="4" t="s">
        <v>79</v>
      </c>
      <c r="BA9" s="4" t="s">
        <v>176</v>
      </c>
      <c r="BB9" s="4" t="s">
        <v>126</v>
      </c>
      <c r="BC9" s="4" t="s">
        <v>79</v>
      </c>
      <c r="BD9" s="4" t="s">
        <v>95</v>
      </c>
      <c r="BE9" s="4" t="s">
        <v>79</v>
      </c>
      <c r="BF9" s="4" t="s">
        <v>102</v>
      </c>
      <c r="BG9" s="4" t="s">
        <v>103</v>
      </c>
      <c r="BH9" s="4" t="s">
        <v>79</v>
      </c>
      <c r="BI9" s="4" t="s">
        <v>177</v>
      </c>
      <c r="BJ9" s="4" t="s">
        <v>79</v>
      </c>
      <c r="BK9" s="5" t="s">
        <v>105</v>
      </c>
      <c r="BL9" s="4" t="s">
        <v>106</v>
      </c>
      <c r="BM9" s="4" t="s">
        <v>107</v>
      </c>
      <c r="BN9" s="4" t="s">
        <v>125</v>
      </c>
      <c r="BO9" s="4" t="s">
        <v>79</v>
      </c>
      <c r="BP9" s="6" t="s">
        <v>136</v>
      </c>
      <c r="BQ9" s="4" t="s">
        <v>178</v>
      </c>
      <c r="BR9" s="4" t="s">
        <v>111</v>
      </c>
      <c r="BS9" s="4" t="s">
        <v>80</v>
      </c>
      <c r="BT9" s="4" t="s">
        <v>79</v>
      </c>
      <c r="BU9" s="4" t="s">
        <v>179</v>
      </c>
      <c r="BV9" s="4" t="s">
        <v>125</v>
      </c>
      <c r="BW9" s="4" t="s">
        <v>79</v>
      </c>
      <c r="BX9" s="4" t="s">
        <v>180</v>
      </c>
      <c r="BY9" s="4">
        <v>5</v>
      </c>
      <c r="BZ9" s="4">
        <v>14</v>
      </c>
      <c r="CA9" s="8"/>
    </row>
    <row r="10" spans="1:79" ht="46.5" x14ac:dyDescent="0.35">
      <c r="A10" s="4" t="s">
        <v>181</v>
      </c>
      <c r="B10" s="4" t="s">
        <v>79</v>
      </c>
      <c r="C10" s="4" t="s">
        <v>79</v>
      </c>
      <c r="D10" s="4">
        <v>11</v>
      </c>
      <c r="E10" s="4" t="s">
        <v>80</v>
      </c>
      <c r="F10" s="4">
        <v>2</v>
      </c>
      <c r="G10" s="4" t="s">
        <v>79</v>
      </c>
      <c r="H10" s="4" t="s">
        <v>81</v>
      </c>
      <c r="I10" s="4" t="s">
        <v>79</v>
      </c>
      <c r="J10" s="4" t="s">
        <v>172</v>
      </c>
      <c r="K10" s="4" t="s">
        <v>83</v>
      </c>
      <c r="L10" s="4" t="s">
        <v>84</v>
      </c>
      <c r="M10" s="4" t="s">
        <v>85</v>
      </c>
      <c r="N10" s="4" t="s">
        <v>86</v>
      </c>
      <c r="O10" s="4">
        <v>12</v>
      </c>
      <c r="P10" s="4">
        <v>45</v>
      </c>
      <c r="Q10" s="4" t="s">
        <v>80</v>
      </c>
      <c r="R10" s="4">
        <v>2</v>
      </c>
      <c r="S10" s="6" t="s">
        <v>182</v>
      </c>
      <c r="T10" s="6">
        <v>12</v>
      </c>
      <c r="U10" s="4" t="s">
        <v>88</v>
      </c>
      <c r="V10" s="4" t="s">
        <v>79</v>
      </c>
      <c r="W10" s="4" t="s">
        <v>79</v>
      </c>
      <c r="X10" s="4" t="s">
        <v>173</v>
      </c>
      <c r="Y10" s="4" t="s">
        <v>80</v>
      </c>
      <c r="Z10" s="4" t="s">
        <v>90</v>
      </c>
      <c r="AA10" s="4" t="s">
        <v>79</v>
      </c>
      <c r="AB10" s="4" t="s">
        <v>121</v>
      </c>
      <c r="AC10" s="7" t="s">
        <v>183</v>
      </c>
      <c r="AD10" s="8" t="s">
        <v>93</v>
      </c>
      <c r="AE10" s="9">
        <v>2.46</v>
      </c>
      <c r="AF10" s="5" t="s">
        <v>149</v>
      </c>
      <c r="AG10" s="4">
        <v>21</v>
      </c>
      <c r="AH10" s="4">
        <v>8</v>
      </c>
      <c r="AI10" s="4">
        <v>5</v>
      </c>
      <c r="AJ10" s="4">
        <v>0</v>
      </c>
      <c r="AK10" s="4">
        <v>34</v>
      </c>
      <c r="AL10" s="4">
        <v>440</v>
      </c>
      <c r="AM10" s="10">
        <v>20.952380952380953</v>
      </c>
      <c r="AN10" s="4" t="s">
        <v>79</v>
      </c>
      <c r="AO10" s="5" t="s">
        <v>95</v>
      </c>
      <c r="AP10" s="11" t="s">
        <v>96</v>
      </c>
      <c r="AQ10" s="8" t="s">
        <v>124</v>
      </c>
      <c r="AR10" s="8" t="s">
        <v>79</v>
      </c>
      <c r="AS10" s="4" t="s">
        <v>79</v>
      </c>
      <c r="AT10" s="4" t="s">
        <v>79</v>
      </c>
      <c r="AU10" s="4" t="s">
        <v>98</v>
      </c>
      <c r="AV10" s="4" t="s">
        <v>108</v>
      </c>
      <c r="AW10" s="4" t="s">
        <v>79</v>
      </c>
      <c r="AX10" s="4" t="s">
        <v>99</v>
      </c>
      <c r="AY10" s="4" t="s">
        <v>100</v>
      </c>
      <c r="AZ10" s="4" t="s">
        <v>90</v>
      </c>
      <c r="BA10" s="4" t="s">
        <v>90</v>
      </c>
      <c r="BB10" s="4" t="s">
        <v>126</v>
      </c>
      <c r="BC10" s="4" t="s">
        <v>79</v>
      </c>
      <c r="BD10" s="4" t="s">
        <v>95</v>
      </c>
      <c r="BE10" s="4" t="s">
        <v>79</v>
      </c>
      <c r="BF10" s="4" t="s">
        <v>102</v>
      </c>
      <c r="BG10" s="4" t="s">
        <v>184</v>
      </c>
      <c r="BH10" s="4" t="s">
        <v>79</v>
      </c>
      <c r="BI10" s="4" t="s">
        <v>102</v>
      </c>
      <c r="BJ10" s="4" t="s">
        <v>79</v>
      </c>
      <c r="BK10" s="5" t="s">
        <v>105</v>
      </c>
      <c r="BL10" s="4" t="s">
        <v>106</v>
      </c>
      <c r="BM10" s="4" t="s">
        <v>107</v>
      </c>
      <c r="BN10" s="4" t="s">
        <v>125</v>
      </c>
      <c r="BO10" s="4" t="s">
        <v>79</v>
      </c>
      <c r="BP10" s="6" t="s">
        <v>144</v>
      </c>
      <c r="BQ10" s="4" t="s">
        <v>154</v>
      </c>
      <c r="BR10" s="4" t="s">
        <v>111</v>
      </c>
      <c r="BS10" s="4" t="s">
        <v>79</v>
      </c>
      <c r="BT10" s="4" t="s">
        <v>79</v>
      </c>
      <c r="BU10" s="4" t="s">
        <v>112</v>
      </c>
      <c r="BV10" s="4" t="s">
        <v>113</v>
      </c>
      <c r="BW10" s="4" t="s">
        <v>79</v>
      </c>
      <c r="BX10" s="4" t="s">
        <v>99</v>
      </c>
      <c r="BY10" s="4">
        <v>3</v>
      </c>
      <c r="BZ10" s="4">
        <v>7</v>
      </c>
      <c r="CA10" s="8"/>
    </row>
    <row r="11" spans="1:79" ht="46.5" x14ac:dyDescent="0.35">
      <c r="A11" s="4" t="s">
        <v>185</v>
      </c>
      <c r="B11" s="4" t="s">
        <v>79</v>
      </c>
      <c r="C11" s="4" t="s">
        <v>79</v>
      </c>
      <c r="D11" s="4">
        <v>10</v>
      </c>
      <c r="E11" s="4" t="s">
        <v>79</v>
      </c>
      <c r="F11" s="4">
        <v>1</v>
      </c>
      <c r="G11" s="4" t="s">
        <v>79</v>
      </c>
      <c r="H11" s="4" t="s">
        <v>117</v>
      </c>
      <c r="I11" s="4" t="s">
        <v>79</v>
      </c>
      <c r="J11" s="4" t="s">
        <v>80</v>
      </c>
      <c r="K11" s="4" t="s">
        <v>186</v>
      </c>
      <c r="L11" s="4" t="s">
        <v>84</v>
      </c>
      <c r="M11" s="4" t="s">
        <v>85</v>
      </c>
      <c r="N11" s="4" t="s">
        <v>86</v>
      </c>
      <c r="O11" s="4">
        <v>6</v>
      </c>
      <c r="P11" s="4">
        <v>45</v>
      </c>
      <c r="Q11" s="4" t="s">
        <v>80</v>
      </c>
      <c r="R11" s="4">
        <v>2</v>
      </c>
      <c r="S11" s="6" t="s">
        <v>182</v>
      </c>
      <c r="T11" s="6">
        <v>12</v>
      </c>
      <c r="U11" s="4" t="s">
        <v>88</v>
      </c>
      <c r="V11" s="4" t="s">
        <v>79</v>
      </c>
      <c r="W11" s="4" t="s">
        <v>79</v>
      </c>
      <c r="X11" s="4" t="s">
        <v>89</v>
      </c>
      <c r="Y11" s="4" t="s">
        <v>80</v>
      </c>
      <c r="Z11" s="4" t="s">
        <v>90</v>
      </c>
      <c r="AA11" s="4" t="s">
        <v>79</v>
      </c>
      <c r="AB11" s="4" t="s">
        <v>134</v>
      </c>
      <c r="AC11" s="7" t="s">
        <v>135</v>
      </c>
      <c r="AD11" s="8" t="s">
        <v>93</v>
      </c>
      <c r="AE11" s="9">
        <v>2.2400000000000002</v>
      </c>
      <c r="AF11" s="5" t="s">
        <v>149</v>
      </c>
      <c r="AG11" s="4">
        <v>15</v>
      </c>
      <c r="AH11" s="4">
        <v>5</v>
      </c>
      <c r="AI11" s="4">
        <v>12</v>
      </c>
      <c r="AJ11" s="4">
        <v>8</v>
      </c>
      <c r="AK11" s="4">
        <v>40</v>
      </c>
      <c r="AL11" s="4">
        <v>300</v>
      </c>
      <c r="AM11" s="4">
        <v>20</v>
      </c>
      <c r="AN11" s="4" t="s">
        <v>79</v>
      </c>
      <c r="AO11" s="5" t="s">
        <v>95</v>
      </c>
      <c r="AP11" s="11" t="s">
        <v>96</v>
      </c>
      <c r="AQ11" s="8" t="s">
        <v>124</v>
      </c>
      <c r="AR11" s="8" t="s">
        <v>79</v>
      </c>
      <c r="AS11" s="4" t="s">
        <v>79</v>
      </c>
      <c r="AT11" s="4" t="s">
        <v>79</v>
      </c>
      <c r="AU11" s="4" t="s">
        <v>98</v>
      </c>
      <c r="AV11" s="4" t="s">
        <v>125</v>
      </c>
      <c r="AW11" s="4" t="s">
        <v>79</v>
      </c>
      <c r="AX11" s="4" t="s">
        <v>187</v>
      </c>
      <c r="AY11" s="4" t="s">
        <v>175</v>
      </c>
      <c r="AZ11" s="4" t="s">
        <v>79</v>
      </c>
      <c r="BA11" s="4" t="s">
        <v>188</v>
      </c>
      <c r="BB11" s="4" t="s">
        <v>126</v>
      </c>
      <c r="BC11" s="4" t="s">
        <v>79</v>
      </c>
      <c r="BD11" s="4" t="s">
        <v>95</v>
      </c>
      <c r="BE11" s="4" t="s">
        <v>79</v>
      </c>
      <c r="BF11" s="4" t="s">
        <v>102</v>
      </c>
      <c r="BG11" s="4" t="s">
        <v>103</v>
      </c>
      <c r="BH11" s="4" t="s">
        <v>79</v>
      </c>
      <c r="BI11" s="4" t="s">
        <v>189</v>
      </c>
      <c r="BJ11" s="4" t="s">
        <v>79</v>
      </c>
      <c r="BK11" s="5" t="s">
        <v>105</v>
      </c>
      <c r="BL11" s="4" t="s">
        <v>106</v>
      </c>
      <c r="BM11" s="4" t="s">
        <v>107</v>
      </c>
      <c r="BN11" s="4" t="s">
        <v>108</v>
      </c>
      <c r="BO11" s="4" t="s">
        <v>79</v>
      </c>
      <c r="BP11" s="6" t="s">
        <v>136</v>
      </c>
      <c r="BQ11" s="4" t="s">
        <v>154</v>
      </c>
      <c r="BR11" s="4" t="s">
        <v>111</v>
      </c>
      <c r="BS11" s="4" t="s">
        <v>79</v>
      </c>
      <c r="BT11" s="4" t="s">
        <v>79</v>
      </c>
      <c r="BU11" s="4" t="s">
        <v>112</v>
      </c>
      <c r="BV11" s="4" t="s">
        <v>113</v>
      </c>
      <c r="BW11" s="4" t="s">
        <v>79</v>
      </c>
      <c r="BX11" s="4" t="s">
        <v>190</v>
      </c>
      <c r="BY11" s="4">
        <v>4</v>
      </c>
      <c r="BZ11" s="4">
        <v>5</v>
      </c>
      <c r="CA11" s="8"/>
    </row>
    <row r="12" spans="1:79" ht="46.5" x14ac:dyDescent="0.35">
      <c r="A12" s="4" t="s">
        <v>191</v>
      </c>
      <c r="B12" s="4" t="s">
        <v>79</v>
      </c>
      <c r="C12" s="4" t="s">
        <v>79</v>
      </c>
      <c r="D12" s="4">
        <v>13</v>
      </c>
      <c r="E12" s="4" t="s">
        <v>80</v>
      </c>
      <c r="F12" s="4">
        <v>2</v>
      </c>
      <c r="G12" s="4" t="s">
        <v>79</v>
      </c>
      <c r="H12" s="4" t="s">
        <v>117</v>
      </c>
      <c r="I12" s="4" t="s">
        <v>79</v>
      </c>
      <c r="J12" s="4" t="s">
        <v>80</v>
      </c>
      <c r="K12" s="4" t="s">
        <v>118</v>
      </c>
      <c r="L12" s="4" t="s">
        <v>84</v>
      </c>
      <c r="M12" s="4" t="s">
        <v>85</v>
      </c>
      <c r="N12" s="4" t="s">
        <v>86</v>
      </c>
      <c r="O12" s="4">
        <v>6</v>
      </c>
      <c r="P12" s="4">
        <v>45</v>
      </c>
      <c r="Q12" s="4" t="s">
        <v>80</v>
      </c>
      <c r="R12" s="4">
        <v>2</v>
      </c>
      <c r="S12" s="6" t="s">
        <v>192</v>
      </c>
      <c r="T12" s="6">
        <v>10.5</v>
      </c>
      <c r="U12" s="4" t="s">
        <v>88</v>
      </c>
      <c r="V12" s="4" t="s">
        <v>79</v>
      </c>
      <c r="W12" s="4" t="s">
        <v>79</v>
      </c>
      <c r="X12" s="4" t="s">
        <v>173</v>
      </c>
      <c r="Y12" s="4" t="s">
        <v>80</v>
      </c>
      <c r="Z12" s="4" t="s">
        <v>90</v>
      </c>
      <c r="AA12" s="4" t="s">
        <v>79</v>
      </c>
      <c r="AB12" s="4" t="s">
        <v>121</v>
      </c>
      <c r="AC12" s="7" t="s">
        <v>135</v>
      </c>
      <c r="AD12" s="8" t="s">
        <v>93</v>
      </c>
      <c r="AE12" s="9">
        <v>2.41</v>
      </c>
      <c r="AF12" s="5" t="s">
        <v>149</v>
      </c>
      <c r="AG12" s="4">
        <v>56</v>
      </c>
      <c r="AH12" s="4">
        <v>3</v>
      </c>
      <c r="AI12" s="4">
        <v>42</v>
      </c>
      <c r="AJ12" s="4">
        <v>4</v>
      </c>
      <c r="AK12" s="4">
        <v>105</v>
      </c>
      <c r="AL12" s="4">
        <v>1200</v>
      </c>
      <c r="AM12" s="10">
        <v>21.428571428571427</v>
      </c>
      <c r="AN12" s="4" t="s">
        <v>79</v>
      </c>
      <c r="AO12" s="5" t="s">
        <v>95</v>
      </c>
      <c r="AP12" s="11" t="s">
        <v>96</v>
      </c>
      <c r="AQ12" s="8">
        <v>60</v>
      </c>
      <c r="AR12" s="8" t="s">
        <v>79</v>
      </c>
      <c r="AS12" s="4" t="s">
        <v>79</v>
      </c>
      <c r="AT12" s="4" t="s">
        <v>79</v>
      </c>
      <c r="AU12" s="4" t="s">
        <v>128</v>
      </c>
      <c r="AV12" s="4" t="s">
        <v>108</v>
      </c>
      <c r="AW12" s="4" t="s">
        <v>79</v>
      </c>
      <c r="AX12" s="4" t="s">
        <v>193</v>
      </c>
      <c r="AY12" s="4" t="s">
        <v>175</v>
      </c>
      <c r="AZ12" s="4" t="s">
        <v>79</v>
      </c>
      <c r="BA12" s="5" t="s">
        <v>194</v>
      </c>
      <c r="BB12" s="4" t="s">
        <v>126</v>
      </c>
      <c r="BC12" s="4" t="s">
        <v>79</v>
      </c>
      <c r="BD12" s="4" t="s">
        <v>95</v>
      </c>
      <c r="BE12" s="4" t="s">
        <v>79</v>
      </c>
      <c r="BF12" s="4" t="s">
        <v>102</v>
      </c>
      <c r="BG12" s="4" t="s">
        <v>103</v>
      </c>
      <c r="BH12" s="4" t="s">
        <v>79</v>
      </c>
      <c r="BI12" s="4" t="s">
        <v>104</v>
      </c>
      <c r="BJ12" s="4" t="s">
        <v>79</v>
      </c>
      <c r="BK12" s="4" t="s">
        <v>103</v>
      </c>
      <c r="BL12" s="4" t="s">
        <v>106</v>
      </c>
      <c r="BM12" s="4" t="s">
        <v>107</v>
      </c>
      <c r="BN12" s="5" t="s">
        <v>128</v>
      </c>
      <c r="BO12" s="4" t="s">
        <v>79</v>
      </c>
      <c r="BP12" s="6" t="s">
        <v>195</v>
      </c>
      <c r="BQ12" s="4" t="s">
        <v>196</v>
      </c>
      <c r="BR12" s="4" t="s">
        <v>111</v>
      </c>
      <c r="BS12" s="4" t="s">
        <v>80</v>
      </c>
      <c r="BT12" s="4" t="s">
        <v>79</v>
      </c>
      <c r="BU12" s="4" t="s">
        <v>197</v>
      </c>
      <c r="BV12" s="4" t="s">
        <v>113</v>
      </c>
      <c r="BW12" s="4" t="s">
        <v>79</v>
      </c>
      <c r="BX12" s="4" t="s">
        <v>198</v>
      </c>
      <c r="BY12" s="4">
        <v>4</v>
      </c>
      <c r="BZ12" s="4">
        <v>10</v>
      </c>
      <c r="CA12" s="8"/>
    </row>
    <row r="13" spans="1:79" ht="46.5" x14ac:dyDescent="0.35">
      <c r="A13" s="4" t="s">
        <v>199</v>
      </c>
      <c r="B13" s="4" t="s">
        <v>79</v>
      </c>
      <c r="C13" s="4" t="s">
        <v>79</v>
      </c>
      <c r="D13" s="4">
        <v>15</v>
      </c>
      <c r="E13" s="4" t="s">
        <v>79</v>
      </c>
      <c r="F13" s="4">
        <v>3</v>
      </c>
      <c r="G13" s="4" t="s">
        <v>79</v>
      </c>
      <c r="H13" s="4" t="s">
        <v>117</v>
      </c>
      <c r="I13" s="4" t="s">
        <v>79</v>
      </c>
      <c r="J13" s="4" t="s">
        <v>80</v>
      </c>
      <c r="K13" s="4" t="s">
        <v>118</v>
      </c>
      <c r="L13" s="4" t="s">
        <v>84</v>
      </c>
      <c r="M13" s="4" t="s">
        <v>85</v>
      </c>
      <c r="N13" s="4" t="s">
        <v>86</v>
      </c>
      <c r="O13" s="4">
        <v>6</v>
      </c>
      <c r="P13" s="4">
        <v>40</v>
      </c>
      <c r="Q13" s="4" t="s">
        <v>80</v>
      </c>
      <c r="R13" s="4">
        <v>2</v>
      </c>
      <c r="S13" s="14" t="s">
        <v>200</v>
      </c>
      <c r="T13" s="6">
        <v>10.5</v>
      </c>
      <c r="U13" s="4" t="s">
        <v>88</v>
      </c>
      <c r="V13" s="4" t="s">
        <v>80</v>
      </c>
      <c r="W13" s="4" t="s">
        <v>79</v>
      </c>
      <c r="X13" s="4" t="s">
        <v>173</v>
      </c>
      <c r="Y13" s="4" t="s">
        <v>80</v>
      </c>
      <c r="Z13" s="4" t="s">
        <v>90</v>
      </c>
      <c r="AA13" s="4" t="s">
        <v>79</v>
      </c>
      <c r="AB13" s="4" t="s">
        <v>121</v>
      </c>
      <c r="AC13" s="7" t="s">
        <v>135</v>
      </c>
      <c r="AD13" s="8" t="s">
        <v>93</v>
      </c>
      <c r="AE13" s="9">
        <v>1.97</v>
      </c>
      <c r="AF13" s="5" t="s">
        <v>201</v>
      </c>
      <c r="AG13" s="4">
        <v>13</v>
      </c>
      <c r="AH13" s="4">
        <v>2</v>
      </c>
      <c r="AI13" s="4">
        <v>0</v>
      </c>
      <c r="AJ13" s="4">
        <v>3</v>
      </c>
      <c r="AK13" s="4">
        <v>18</v>
      </c>
      <c r="AL13" s="4">
        <v>150</v>
      </c>
      <c r="AM13" s="4">
        <v>150</v>
      </c>
      <c r="AN13" s="4" t="s">
        <v>79</v>
      </c>
      <c r="AO13" s="5" t="s">
        <v>95</v>
      </c>
      <c r="AP13" s="11" t="s">
        <v>96</v>
      </c>
      <c r="AQ13" s="8" t="s">
        <v>202</v>
      </c>
      <c r="AR13" s="8" t="s">
        <v>80</v>
      </c>
      <c r="AS13" s="4" t="s">
        <v>79</v>
      </c>
      <c r="AT13" s="4" t="s">
        <v>79</v>
      </c>
      <c r="AU13" s="4" t="s">
        <v>108</v>
      </c>
      <c r="AV13" s="4" t="s">
        <v>128</v>
      </c>
      <c r="AW13" s="4" t="s">
        <v>79</v>
      </c>
      <c r="AX13" s="4" t="s">
        <v>203</v>
      </c>
      <c r="AY13" s="4" t="s">
        <v>175</v>
      </c>
      <c r="AZ13" s="15" t="s">
        <v>204</v>
      </c>
      <c r="BA13" s="4" t="s">
        <v>205</v>
      </c>
      <c r="BB13" s="4" t="s">
        <v>126</v>
      </c>
      <c r="BC13" s="4" t="s">
        <v>79</v>
      </c>
      <c r="BD13" s="4" t="s">
        <v>95</v>
      </c>
      <c r="BE13" s="4" t="s">
        <v>79</v>
      </c>
      <c r="BF13" s="4" t="s">
        <v>127</v>
      </c>
      <c r="BG13" s="4" t="s">
        <v>103</v>
      </c>
      <c r="BH13" s="4" t="s">
        <v>79</v>
      </c>
      <c r="BI13" s="4" t="s">
        <v>104</v>
      </c>
      <c r="BJ13" s="4" t="s">
        <v>79</v>
      </c>
      <c r="BK13" s="4" t="str">
        <f>$BK$14</f>
        <v>Ao ar livre</v>
      </c>
      <c r="BL13" s="4" t="s">
        <v>106</v>
      </c>
      <c r="BM13" s="4" t="s">
        <v>107</v>
      </c>
      <c r="BN13" s="4" t="s">
        <v>128</v>
      </c>
      <c r="BO13" s="4" t="s">
        <v>79</v>
      </c>
      <c r="BP13" s="6" t="s">
        <v>195</v>
      </c>
      <c r="BQ13" s="4" t="s">
        <v>206</v>
      </c>
      <c r="BR13" s="4" t="s">
        <v>111</v>
      </c>
      <c r="BS13" s="4" t="s">
        <v>80</v>
      </c>
      <c r="BT13" s="4" t="s">
        <v>79</v>
      </c>
      <c r="BU13" s="4" t="s">
        <v>112</v>
      </c>
      <c r="BV13" s="4" t="s">
        <v>108</v>
      </c>
      <c r="BW13" s="4" t="s">
        <v>79</v>
      </c>
      <c r="BX13" s="4" t="s">
        <v>207</v>
      </c>
      <c r="BY13" s="4">
        <v>5</v>
      </c>
      <c r="BZ13" s="4">
        <v>20</v>
      </c>
      <c r="CA13" s="8"/>
    </row>
    <row r="14" spans="1:79" ht="46.5" x14ac:dyDescent="0.35">
      <c r="A14" s="4" t="s">
        <v>208</v>
      </c>
      <c r="B14" s="4" t="s">
        <v>79</v>
      </c>
      <c r="C14" s="4" t="s">
        <v>79</v>
      </c>
      <c r="D14" s="4">
        <v>26</v>
      </c>
      <c r="E14" s="4" t="s">
        <v>79</v>
      </c>
      <c r="F14" s="4">
        <v>3</v>
      </c>
      <c r="G14" s="4" t="s">
        <v>79</v>
      </c>
      <c r="H14" s="4" t="s">
        <v>117</v>
      </c>
      <c r="I14" s="4" t="s">
        <v>79</v>
      </c>
      <c r="J14" s="4" t="s">
        <v>172</v>
      </c>
      <c r="K14" s="4" t="s">
        <v>118</v>
      </c>
      <c r="L14" s="4" t="s">
        <v>84</v>
      </c>
      <c r="M14" s="4" t="s">
        <v>85</v>
      </c>
      <c r="N14" s="4" t="s">
        <v>209</v>
      </c>
      <c r="O14" s="4">
        <v>6</v>
      </c>
      <c r="P14" s="4">
        <v>45</v>
      </c>
      <c r="Q14" s="4" t="s">
        <v>80</v>
      </c>
      <c r="R14" s="4">
        <v>2</v>
      </c>
      <c r="S14" s="6" t="s">
        <v>159</v>
      </c>
      <c r="T14" s="6">
        <v>12</v>
      </c>
      <c r="U14" s="4" t="s">
        <v>88</v>
      </c>
      <c r="V14" s="4" t="s">
        <v>79</v>
      </c>
      <c r="W14" s="4" t="s">
        <v>79</v>
      </c>
      <c r="X14" s="4" t="s">
        <v>173</v>
      </c>
      <c r="Y14" s="4" t="s">
        <v>79</v>
      </c>
      <c r="Z14" s="4" t="s">
        <v>210</v>
      </c>
      <c r="AA14" s="4" t="s">
        <v>79</v>
      </c>
      <c r="AB14" s="4" t="s">
        <v>121</v>
      </c>
      <c r="AC14" s="7" t="s">
        <v>135</v>
      </c>
      <c r="AD14" s="8" t="s">
        <v>93</v>
      </c>
      <c r="AE14" s="9">
        <v>2.06</v>
      </c>
      <c r="AF14" s="5" t="s">
        <v>201</v>
      </c>
      <c r="AG14" s="4">
        <v>13</v>
      </c>
      <c r="AH14" s="4">
        <v>2</v>
      </c>
      <c r="AI14" s="4">
        <v>2</v>
      </c>
      <c r="AJ14" s="4">
        <v>3</v>
      </c>
      <c r="AK14" s="4">
        <v>20</v>
      </c>
      <c r="AL14" s="4">
        <v>195</v>
      </c>
      <c r="AM14" s="4">
        <v>15</v>
      </c>
      <c r="AN14" s="4" t="s">
        <v>79</v>
      </c>
      <c r="AO14" s="5" t="s">
        <v>95</v>
      </c>
      <c r="AP14" s="11" t="s">
        <v>96</v>
      </c>
      <c r="AQ14" s="8" t="s">
        <v>124</v>
      </c>
      <c r="AR14" s="8" t="s">
        <v>80</v>
      </c>
      <c r="AS14" s="4" t="s">
        <v>79</v>
      </c>
      <c r="AT14" s="4" t="s">
        <v>79</v>
      </c>
      <c r="AU14" s="4" t="s">
        <v>125</v>
      </c>
      <c r="AV14" s="4" t="s">
        <v>108</v>
      </c>
      <c r="AW14" s="4" t="s">
        <v>79</v>
      </c>
      <c r="AX14" s="4" t="s">
        <v>211</v>
      </c>
      <c r="AY14" s="4" t="s">
        <v>100</v>
      </c>
      <c r="AZ14" s="4" t="s">
        <v>90</v>
      </c>
      <c r="BA14" s="4" t="s">
        <v>90</v>
      </c>
      <c r="BB14" s="4" t="s">
        <v>126</v>
      </c>
      <c r="BC14" s="4" t="s">
        <v>79</v>
      </c>
      <c r="BD14" s="4" t="s">
        <v>95</v>
      </c>
      <c r="BE14" s="4" t="s">
        <v>79</v>
      </c>
      <c r="BF14" s="4" t="s">
        <v>102</v>
      </c>
      <c r="BG14" s="4" t="s">
        <v>103</v>
      </c>
      <c r="BH14" s="4" t="s">
        <v>79</v>
      </c>
      <c r="BI14" s="4" t="s">
        <v>163</v>
      </c>
      <c r="BJ14" s="4" t="s">
        <v>79</v>
      </c>
      <c r="BK14" s="5" t="s">
        <v>105</v>
      </c>
      <c r="BL14" s="4" t="s">
        <v>106</v>
      </c>
      <c r="BM14" s="4" t="s">
        <v>107</v>
      </c>
      <c r="BN14" s="4" t="s">
        <v>108</v>
      </c>
      <c r="BO14" s="4" t="s">
        <v>79</v>
      </c>
      <c r="BP14" s="6" t="s">
        <v>136</v>
      </c>
      <c r="BQ14" s="4" t="s">
        <v>178</v>
      </c>
      <c r="BR14" s="4" t="s">
        <v>111</v>
      </c>
      <c r="BS14" s="4" t="s">
        <v>79</v>
      </c>
      <c r="BT14" s="4" t="s">
        <v>79</v>
      </c>
      <c r="BU14" s="4" t="s">
        <v>212</v>
      </c>
      <c r="BV14" s="4" t="s">
        <v>113</v>
      </c>
      <c r="BW14" s="4" t="s">
        <v>145</v>
      </c>
      <c r="BX14" s="4" t="s">
        <v>213</v>
      </c>
      <c r="BY14" s="4">
        <v>5</v>
      </c>
      <c r="BZ14" s="4">
        <v>16</v>
      </c>
      <c r="CA14" s="8"/>
    </row>
    <row r="15" spans="1:79" ht="46.5" x14ac:dyDescent="0.35">
      <c r="A15" s="4" t="s">
        <v>214</v>
      </c>
      <c r="B15" s="4" t="s">
        <v>79</v>
      </c>
      <c r="C15" s="4" t="s">
        <v>79</v>
      </c>
      <c r="D15" s="4">
        <v>13</v>
      </c>
      <c r="E15" s="4" t="s">
        <v>79</v>
      </c>
      <c r="F15" s="4">
        <v>4</v>
      </c>
      <c r="G15" s="4" t="s">
        <v>79</v>
      </c>
      <c r="H15" s="4" t="s">
        <v>117</v>
      </c>
      <c r="I15" s="4" t="s">
        <v>79</v>
      </c>
      <c r="J15" s="4" t="s">
        <v>80</v>
      </c>
      <c r="K15" s="4" t="s">
        <v>186</v>
      </c>
      <c r="L15" s="4" t="s">
        <v>84</v>
      </c>
      <c r="M15" s="4" t="s">
        <v>85</v>
      </c>
      <c r="N15" s="4" t="s">
        <v>86</v>
      </c>
      <c r="O15" s="4">
        <v>6</v>
      </c>
      <c r="P15" s="4">
        <v>45</v>
      </c>
      <c r="Q15" s="4" t="s">
        <v>80</v>
      </c>
      <c r="R15" s="4">
        <v>2</v>
      </c>
      <c r="S15" s="6" t="s">
        <v>215</v>
      </c>
      <c r="T15" s="6">
        <v>10</v>
      </c>
      <c r="U15" s="4" t="s">
        <v>88</v>
      </c>
      <c r="V15" s="4" t="s">
        <v>79</v>
      </c>
      <c r="W15" s="4" t="s">
        <v>79</v>
      </c>
      <c r="X15" s="4" t="s">
        <v>173</v>
      </c>
      <c r="Y15" s="4" t="s">
        <v>80</v>
      </c>
      <c r="Z15" s="4" t="s">
        <v>90</v>
      </c>
      <c r="AA15" s="4" t="s">
        <v>79</v>
      </c>
      <c r="AB15" s="4" t="s">
        <v>134</v>
      </c>
      <c r="AC15" s="7" t="s">
        <v>135</v>
      </c>
      <c r="AD15" s="8" t="s">
        <v>93</v>
      </c>
      <c r="AE15" s="9">
        <v>2.4</v>
      </c>
      <c r="AF15" s="5" t="s">
        <v>216</v>
      </c>
      <c r="AG15" s="4">
        <v>32</v>
      </c>
      <c r="AH15" s="4">
        <v>3</v>
      </c>
      <c r="AI15" s="4">
        <v>0</v>
      </c>
      <c r="AJ15" s="4">
        <v>8</v>
      </c>
      <c r="AK15" s="4">
        <v>43</v>
      </c>
      <c r="AL15" s="4">
        <v>550</v>
      </c>
      <c r="AM15" s="10">
        <v>17.1875</v>
      </c>
      <c r="AN15" s="4" t="s">
        <v>79</v>
      </c>
      <c r="AO15" s="5" t="s">
        <v>95</v>
      </c>
      <c r="AP15" s="11" t="s">
        <v>96</v>
      </c>
      <c r="AQ15" s="8" t="s">
        <v>124</v>
      </c>
      <c r="AR15" s="8" t="s">
        <v>79</v>
      </c>
      <c r="AS15" s="4" t="s">
        <v>79</v>
      </c>
      <c r="AT15" s="4" t="s">
        <v>79</v>
      </c>
      <c r="AU15" s="4" t="s">
        <v>98</v>
      </c>
      <c r="AV15" s="4" t="s">
        <v>108</v>
      </c>
      <c r="AW15" s="4" t="s">
        <v>79</v>
      </c>
      <c r="AX15" s="4" t="s">
        <v>99</v>
      </c>
      <c r="AY15" s="4" t="s">
        <v>175</v>
      </c>
      <c r="AZ15" s="4" t="s">
        <v>79</v>
      </c>
      <c r="BA15" s="5" t="s">
        <v>161</v>
      </c>
      <c r="BB15" s="4" t="s">
        <v>126</v>
      </c>
      <c r="BC15" s="4" t="s">
        <v>79</v>
      </c>
      <c r="BD15" s="4" t="s">
        <v>95</v>
      </c>
      <c r="BE15" s="4" t="s">
        <v>79</v>
      </c>
      <c r="BF15" s="4" t="s">
        <v>102</v>
      </c>
      <c r="BG15" s="4" t="s">
        <v>103</v>
      </c>
      <c r="BH15" s="4" t="s">
        <v>79</v>
      </c>
      <c r="BI15" s="4" t="s">
        <v>163</v>
      </c>
      <c r="BJ15" s="4" t="s">
        <v>79</v>
      </c>
      <c r="BK15" s="5" t="s">
        <v>105</v>
      </c>
      <c r="BL15" s="4" t="s">
        <v>106</v>
      </c>
      <c r="BM15" s="4" t="s">
        <v>107</v>
      </c>
      <c r="BN15" s="4" t="s">
        <v>108</v>
      </c>
      <c r="BO15" s="4" t="s">
        <v>79</v>
      </c>
      <c r="BP15" s="6" t="s">
        <v>136</v>
      </c>
      <c r="BQ15" s="4" t="s">
        <v>178</v>
      </c>
      <c r="BR15" s="4" t="s">
        <v>111</v>
      </c>
      <c r="BS15" s="4" t="s">
        <v>80</v>
      </c>
      <c r="BT15" s="4" t="s">
        <v>79</v>
      </c>
      <c r="BU15" s="4" t="s">
        <v>197</v>
      </c>
      <c r="BV15" s="4" t="s">
        <v>113</v>
      </c>
      <c r="BW15" s="4" t="s">
        <v>79</v>
      </c>
      <c r="BX15" s="4" t="s">
        <v>217</v>
      </c>
      <c r="BY15" s="4">
        <v>3</v>
      </c>
      <c r="BZ15" s="4">
        <v>20</v>
      </c>
      <c r="CA15" s="8"/>
    </row>
    <row r="16" spans="1:79" ht="46.5" x14ac:dyDescent="0.35">
      <c r="A16" s="4" t="s">
        <v>218</v>
      </c>
      <c r="B16" s="4" t="s">
        <v>79</v>
      </c>
      <c r="C16" s="4" t="s">
        <v>79</v>
      </c>
      <c r="D16" s="4">
        <v>25</v>
      </c>
      <c r="E16" s="4" t="s">
        <v>79</v>
      </c>
      <c r="F16" s="4">
        <v>2</v>
      </c>
      <c r="G16" s="4" t="s">
        <v>79</v>
      </c>
      <c r="H16" s="4" t="s">
        <v>117</v>
      </c>
      <c r="I16" s="4" t="s">
        <v>79</v>
      </c>
      <c r="J16" s="4" t="s">
        <v>80</v>
      </c>
      <c r="K16" s="4" t="s">
        <v>118</v>
      </c>
      <c r="L16" s="4" t="s">
        <v>84</v>
      </c>
      <c r="M16" s="4" t="s">
        <v>85</v>
      </c>
      <c r="N16" s="4" t="s">
        <v>119</v>
      </c>
      <c r="O16" s="4">
        <v>6</v>
      </c>
      <c r="P16" s="4">
        <v>45</v>
      </c>
      <c r="Q16" s="4" t="s">
        <v>80</v>
      </c>
      <c r="R16" s="4">
        <v>2</v>
      </c>
      <c r="S16" s="6" t="s">
        <v>219</v>
      </c>
      <c r="T16" s="6">
        <v>13</v>
      </c>
      <c r="U16" s="4" t="s">
        <v>220</v>
      </c>
      <c r="V16" s="4" t="s">
        <v>80</v>
      </c>
      <c r="W16" s="4" t="s">
        <v>79</v>
      </c>
      <c r="X16" s="4" t="s">
        <v>133</v>
      </c>
      <c r="Y16" s="4" t="s">
        <v>80</v>
      </c>
      <c r="Z16" s="4" t="s">
        <v>90</v>
      </c>
      <c r="AA16" s="4" t="s">
        <v>79</v>
      </c>
      <c r="AB16" s="4" t="s">
        <v>121</v>
      </c>
      <c r="AC16" s="7" t="s">
        <v>135</v>
      </c>
      <c r="AD16" s="8" t="s">
        <v>93</v>
      </c>
      <c r="AE16" s="9">
        <v>2.2400000000000002</v>
      </c>
      <c r="AF16" s="5" t="s">
        <v>216</v>
      </c>
      <c r="AG16" s="4">
        <v>23</v>
      </c>
      <c r="AH16" s="4">
        <v>4</v>
      </c>
      <c r="AI16" s="4">
        <v>5</v>
      </c>
      <c r="AJ16" s="4">
        <v>6</v>
      </c>
      <c r="AK16" s="4">
        <v>38</v>
      </c>
      <c r="AL16" s="4">
        <v>300</v>
      </c>
      <c r="AM16" s="4">
        <v>13</v>
      </c>
      <c r="AN16" s="4" t="s">
        <v>79</v>
      </c>
      <c r="AO16" s="5" t="s">
        <v>95</v>
      </c>
      <c r="AP16" s="11" t="s">
        <v>96</v>
      </c>
      <c r="AQ16" s="8" t="s">
        <v>221</v>
      </c>
      <c r="AR16" s="8" t="s">
        <v>80</v>
      </c>
      <c r="AS16" s="4" t="s">
        <v>79</v>
      </c>
      <c r="AT16" s="4" t="s">
        <v>79</v>
      </c>
      <c r="AU16" s="4" t="s">
        <v>128</v>
      </c>
      <c r="AV16" s="4" t="s">
        <v>108</v>
      </c>
      <c r="AW16" s="4" t="s">
        <v>79</v>
      </c>
      <c r="AX16" s="4" t="s">
        <v>99</v>
      </c>
      <c r="AY16" s="4" t="s">
        <v>100</v>
      </c>
      <c r="AZ16" s="4" t="s">
        <v>90</v>
      </c>
      <c r="BA16" s="4" t="s">
        <v>90</v>
      </c>
      <c r="BB16" s="4" t="s">
        <v>126</v>
      </c>
      <c r="BC16" s="4" t="s">
        <v>79</v>
      </c>
      <c r="BD16" s="4" t="s">
        <v>95</v>
      </c>
      <c r="BE16" s="4" t="s">
        <v>79</v>
      </c>
      <c r="BF16" s="4" t="s">
        <v>104</v>
      </c>
      <c r="BG16" s="4" t="s">
        <v>103</v>
      </c>
      <c r="BH16" s="4" t="s">
        <v>79</v>
      </c>
      <c r="BI16" s="4" t="s">
        <v>104</v>
      </c>
      <c r="BJ16" s="4" t="s">
        <v>79</v>
      </c>
      <c r="BK16" s="5" t="s">
        <v>105</v>
      </c>
      <c r="BL16" s="4" t="s">
        <v>222</v>
      </c>
      <c r="BM16" s="4" t="s">
        <v>107</v>
      </c>
      <c r="BN16" s="4" t="s">
        <v>108</v>
      </c>
      <c r="BO16" s="4" t="s">
        <v>79</v>
      </c>
      <c r="BP16" s="6" t="s">
        <v>136</v>
      </c>
      <c r="BQ16" s="4" t="s">
        <v>154</v>
      </c>
      <c r="BR16" s="4" t="s">
        <v>111</v>
      </c>
      <c r="BS16" s="4" t="s">
        <v>80</v>
      </c>
      <c r="BT16" s="4" t="s">
        <v>79</v>
      </c>
      <c r="BU16" s="4" t="s">
        <v>112</v>
      </c>
      <c r="BV16" s="4" t="s">
        <v>108</v>
      </c>
      <c r="BW16" s="4" t="s">
        <v>79</v>
      </c>
      <c r="BX16" s="4" t="s">
        <v>99</v>
      </c>
      <c r="BY16" s="4">
        <v>4</v>
      </c>
      <c r="BZ16" s="4">
        <v>19</v>
      </c>
      <c r="CA16" s="8"/>
    </row>
    <row r="17" spans="1:79" ht="46.5" x14ac:dyDescent="0.35">
      <c r="A17" s="4" t="s">
        <v>223</v>
      </c>
      <c r="B17" s="4" t="s">
        <v>79</v>
      </c>
      <c r="C17" s="4" t="s">
        <v>79</v>
      </c>
      <c r="D17" s="4">
        <v>14</v>
      </c>
      <c r="E17" s="4" t="s">
        <v>79</v>
      </c>
      <c r="F17" s="4">
        <v>5</v>
      </c>
      <c r="G17" s="4" t="s">
        <v>79</v>
      </c>
      <c r="H17" s="4" t="s">
        <v>168</v>
      </c>
      <c r="I17" s="4" t="s">
        <v>79</v>
      </c>
      <c r="J17" s="5" t="s">
        <v>224</v>
      </c>
      <c r="K17" s="4" t="s">
        <v>118</v>
      </c>
      <c r="L17" s="4" t="s">
        <v>84</v>
      </c>
      <c r="M17" s="4" t="s">
        <v>85</v>
      </c>
      <c r="N17" s="4" t="s">
        <v>86</v>
      </c>
      <c r="O17" s="4">
        <v>6</v>
      </c>
      <c r="P17" s="4">
        <v>45</v>
      </c>
      <c r="Q17" s="4" t="s">
        <v>80</v>
      </c>
      <c r="R17" s="4">
        <v>2</v>
      </c>
      <c r="S17" s="6" t="s">
        <v>225</v>
      </c>
      <c r="T17" s="6">
        <v>11</v>
      </c>
      <c r="U17" s="4" t="s">
        <v>88</v>
      </c>
      <c r="V17" s="4" t="s">
        <v>79</v>
      </c>
      <c r="W17" s="4" t="s">
        <v>79</v>
      </c>
      <c r="X17" s="4" t="s">
        <v>89</v>
      </c>
      <c r="Y17" s="4" t="s">
        <v>80</v>
      </c>
      <c r="Z17" s="4" t="s">
        <v>90</v>
      </c>
      <c r="AA17" s="4" t="s">
        <v>79</v>
      </c>
      <c r="AB17" s="4" t="s">
        <v>121</v>
      </c>
      <c r="AC17" s="7" t="s">
        <v>135</v>
      </c>
      <c r="AD17" s="8" t="s">
        <v>93</v>
      </c>
      <c r="AE17" s="9">
        <v>2.4</v>
      </c>
      <c r="AF17" s="5" t="s">
        <v>201</v>
      </c>
      <c r="AG17" s="4">
        <v>38</v>
      </c>
      <c r="AH17" s="4">
        <v>7</v>
      </c>
      <c r="AI17" s="4">
        <v>0</v>
      </c>
      <c r="AJ17" s="4">
        <v>0</v>
      </c>
      <c r="AK17" s="4">
        <v>45</v>
      </c>
      <c r="AL17" s="4">
        <v>1000</v>
      </c>
      <c r="AM17" s="4">
        <v>26.3</v>
      </c>
      <c r="AN17" s="4" t="s">
        <v>79</v>
      </c>
      <c r="AO17" s="4" t="s">
        <v>95</v>
      </c>
      <c r="AP17" s="11" t="s">
        <v>96</v>
      </c>
      <c r="AQ17" s="8" t="s">
        <v>124</v>
      </c>
      <c r="AR17" s="8" t="s">
        <v>79</v>
      </c>
      <c r="AS17" s="4" t="s">
        <v>79</v>
      </c>
      <c r="AT17" s="4" t="s">
        <v>79</v>
      </c>
      <c r="AU17" s="4" t="s">
        <v>108</v>
      </c>
      <c r="AV17" s="4" t="s">
        <v>108</v>
      </c>
      <c r="AW17" s="4" t="s">
        <v>79</v>
      </c>
      <c r="AX17" s="4" t="s">
        <v>99</v>
      </c>
      <c r="AY17" s="4" t="s">
        <v>100</v>
      </c>
      <c r="AZ17" s="4" t="s">
        <v>90</v>
      </c>
      <c r="BA17" s="4" t="s">
        <v>90</v>
      </c>
      <c r="BB17" s="4" t="s">
        <v>126</v>
      </c>
      <c r="BC17" s="4" t="s">
        <v>79</v>
      </c>
      <c r="BD17" s="4" t="s">
        <v>95</v>
      </c>
      <c r="BE17" s="4" t="s">
        <v>79</v>
      </c>
      <c r="BF17" s="4" t="s">
        <v>152</v>
      </c>
      <c r="BG17" s="4" t="s">
        <v>103</v>
      </c>
      <c r="BH17" s="4" t="s">
        <v>79</v>
      </c>
      <c r="BI17" s="4" t="s">
        <v>152</v>
      </c>
      <c r="BJ17" s="4" t="s">
        <v>79</v>
      </c>
      <c r="BK17" s="5" t="s">
        <v>105</v>
      </c>
      <c r="BL17" s="4" t="s">
        <v>106</v>
      </c>
      <c r="BM17" s="4" t="s">
        <v>107</v>
      </c>
      <c r="BN17" s="4" t="s">
        <v>108</v>
      </c>
      <c r="BO17" s="4" t="s">
        <v>79</v>
      </c>
      <c r="BP17" s="6" t="s">
        <v>226</v>
      </c>
      <c r="BQ17" s="4" t="s">
        <v>227</v>
      </c>
      <c r="BR17" s="4" t="s">
        <v>111</v>
      </c>
      <c r="BS17" s="4" t="s">
        <v>80</v>
      </c>
      <c r="BT17" s="4" t="s">
        <v>79</v>
      </c>
      <c r="BU17" s="4" t="s">
        <v>112</v>
      </c>
      <c r="BV17" s="4" t="s">
        <v>113</v>
      </c>
      <c r="BW17" s="4" t="s">
        <v>80</v>
      </c>
      <c r="BX17" s="4" t="s">
        <v>228</v>
      </c>
      <c r="BY17" s="4">
        <v>1</v>
      </c>
      <c r="BZ17" s="4">
        <v>16</v>
      </c>
      <c r="CA17" s="8"/>
    </row>
    <row r="18" spans="1:79" ht="46.5" x14ac:dyDescent="0.35">
      <c r="A18" s="4" t="s">
        <v>229</v>
      </c>
      <c r="B18" s="4" t="s">
        <v>79</v>
      </c>
      <c r="C18" s="4" t="s">
        <v>79</v>
      </c>
      <c r="D18" s="4">
        <v>18</v>
      </c>
      <c r="E18" s="4" t="s">
        <v>79</v>
      </c>
      <c r="F18" s="4">
        <v>3</v>
      </c>
      <c r="G18" s="4" t="s">
        <v>79</v>
      </c>
      <c r="H18" s="4" t="s">
        <v>117</v>
      </c>
      <c r="I18" s="4" t="s">
        <v>79</v>
      </c>
      <c r="J18" s="4" t="s">
        <v>80</v>
      </c>
      <c r="K18" s="4" t="s">
        <v>186</v>
      </c>
      <c r="L18" s="4" t="s">
        <v>84</v>
      </c>
      <c r="M18" s="4" t="s">
        <v>85</v>
      </c>
      <c r="N18" s="4" t="s">
        <v>86</v>
      </c>
      <c r="O18" s="4">
        <v>6</v>
      </c>
      <c r="P18" s="4">
        <v>45</v>
      </c>
      <c r="Q18" s="4" t="s">
        <v>80</v>
      </c>
      <c r="R18" s="4">
        <v>2</v>
      </c>
      <c r="S18" s="6" t="s">
        <v>230</v>
      </c>
      <c r="T18" s="6">
        <v>10</v>
      </c>
      <c r="U18" s="4" t="s">
        <v>88</v>
      </c>
      <c r="V18" s="4" t="s">
        <v>79</v>
      </c>
      <c r="W18" s="4" t="s">
        <v>79</v>
      </c>
      <c r="X18" s="4" t="s">
        <v>173</v>
      </c>
      <c r="Y18" s="4" t="s">
        <v>80</v>
      </c>
      <c r="Z18" s="4" t="s">
        <v>90</v>
      </c>
      <c r="AA18" s="4" t="s">
        <v>79</v>
      </c>
      <c r="AB18" s="4" t="s">
        <v>121</v>
      </c>
      <c r="AC18" s="7" t="s">
        <v>135</v>
      </c>
      <c r="AD18" s="8" t="s">
        <v>93</v>
      </c>
      <c r="AE18" s="9">
        <v>2.4900000000000002</v>
      </c>
      <c r="AF18" s="5" t="s">
        <v>149</v>
      </c>
      <c r="AG18" s="4">
        <v>40</v>
      </c>
      <c r="AH18" s="4">
        <v>11</v>
      </c>
      <c r="AI18" s="4">
        <v>6</v>
      </c>
      <c r="AJ18" s="4">
        <v>30</v>
      </c>
      <c r="AK18" s="4">
        <v>87</v>
      </c>
      <c r="AL18" s="4">
        <v>880</v>
      </c>
      <c r="AM18" s="4">
        <v>22</v>
      </c>
      <c r="AN18" s="4" t="s">
        <v>79</v>
      </c>
      <c r="AO18" s="4" t="s">
        <v>95</v>
      </c>
      <c r="AP18" s="11" t="s">
        <v>96</v>
      </c>
      <c r="AQ18" s="8" t="s">
        <v>124</v>
      </c>
      <c r="AR18" s="8" t="s">
        <v>79</v>
      </c>
      <c r="AS18" s="4" t="s">
        <v>79</v>
      </c>
      <c r="AT18" s="4" t="s">
        <v>79</v>
      </c>
      <c r="AU18" s="4" t="s">
        <v>98</v>
      </c>
      <c r="AV18" s="4" t="s">
        <v>98</v>
      </c>
      <c r="AW18" s="4" t="s">
        <v>79</v>
      </c>
      <c r="AX18" s="4" t="s">
        <v>211</v>
      </c>
      <c r="AY18" s="4" t="s">
        <v>175</v>
      </c>
      <c r="AZ18" s="4" t="s">
        <v>79</v>
      </c>
      <c r="BA18" s="5" t="s">
        <v>161</v>
      </c>
      <c r="BB18" s="4" t="s">
        <v>126</v>
      </c>
      <c r="BC18" s="4" t="s">
        <v>79</v>
      </c>
      <c r="BD18" s="4" t="s">
        <v>95</v>
      </c>
      <c r="BE18" s="4" t="s">
        <v>79</v>
      </c>
      <c r="BF18" s="4" t="s">
        <v>102</v>
      </c>
      <c r="BG18" s="4" t="s">
        <v>103</v>
      </c>
      <c r="BH18" s="4" t="s">
        <v>79</v>
      </c>
      <c r="BI18" s="4" t="s">
        <v>163</v>
      </c>
      <c r="BJ18" s="4" t="s">
        <v>79</v>
      </c>
      <c r="BK18" s="5" t="s">
        <v>105</v>
      </c>
      <c r="BL18" s="4" t="s">
        <v>106</v>
      </c>
      <c r="BM18" s="4" t="s">
        <v>107</v>
      </c>
      <c r="BN18" s="4" t="s">
        <v>125</v>
      </c>
      <c r="BO18" s="4" t="s">
        <v>79</v>
      </c>
      <c r="BP18" s="6" t="s">
        <v>153</v>
      </c>
      <c r="BQ18" s="4" t="s">
        <v>154</v>
      </c>
      <c r="BR18" s="4" t="s">
        <v>111</v>
      </c>
      <c r="BS18" s="4" t="s">
        <v>80</v>
      </c>
      <c r="BT18" s="4" t="s">
        <v>79</v>
      </c>
      <c r="BU18" s="4" t="s">
        <v>112</v>
      </c>
      <c r="BV18" s="4" t="s">
        <v>108</v>
      </c>
      <c r="BW18" s="4" t="s">
        <v>145</v>
      </c>
      <c r="BX18" s="4" t="s">
        <v>231</v>
      </c>
      <c r="BY18" s="4">
        <v>2</v>
      </c>
      <c r="BZ18" s="4">
        <v>20</v>
      </c>
      <c r="CA18" s="8"/>
    </row>
    <row r="19" spans="1:79" ht="46.5" x14ac:dyDescent="0.35">
      <c r="A19" s="4" t="s">
        <v>232</v>
      </c>
      <c r="B19" s="4" t="s">
        <v>79</v>
      </c>
      <c r="C19" s="4" t="s">
        <v>79</v>
      </c>
      <c r="D19" s="5">
        <v>12</v>
      </c>
      <c r="E19" s="5" t="s">
        <v>80</v>
      </c>
      <c r="F19" s="4">
        <v>7</v>
      </c>
      <c r="G19" s="4" t="s">
        <v>79</v>
      </c>
      <c r="H19" s="4" t="s">
        <v>117</v>
      </c>
      <c r="I19" s="4" t="s">
        <v>80</v>
      </c>
      <c r="J19" s="4" t="s">
        <v>80</v>
      </c>
      <c r="K19" s="4" t="s">
        <v>118</v>
      </c>
      <c r="L19" s="4" t="s">
        <v>84</v>
      </c>
      <c r="M19" s="4" t="s">
        <v>85</v>
      </c>
      <c r="N19" s="4" t="s">
        <v>86</v>
      </c>
      <c r="O19" s="4">
        <v>6</v>
      </c>
      <c r="P19" s="4">
        <v>45</v>
      </c>
      <c r="Q19" s="4" t="s">
        <v>80</v>
      </c>
      <c r="R19" s="4">
        <v>2</v>
      </c>
      <c r="S19" s="6" t="s">
        <v>225</v>
      </c>
      <c r="T19" s="6">
        <v>11</v>
      </c>
      <c r="U19" s="4" t="s">
        <v>88</v>
      </c>
      <c r="V19" s="4" t="s">
        <v>79</v>
      </c>
      <c r="W19" s="4" t="s">
        <v>79</v>
      </c>
      <c r="X19" s="4" t="s">
        <v>133</v>
      </c>
      <c r="Y19" s="4" t="s">
        <v>80</v>
      </c>
      <c r="Z19" s="4" t="s">
        <v>90</v>
      </c>
      <c r="AA19" s="4" t="s">
        <v>79</v>
      </c>
      <c r="AB19" s="4" t="s">
        <v>121</v>
      </c>
      <c r="AC19" s="7" t="s">
        <v>135</v>
      </c>
      <c r="AD19" s="8" t="s">
        <v>93</v>
      </c>
      <c r="AE19" s="9">
        <v>2.29</v>
      </c>
      <c r="AF19" s="5" t="s">
        <v>149</v>
      </c>
      <c r="AG19" s="4">
        <v>30</v>
      </c>
      <c r="AH19" s="4">
        <v>5</v>
      </c>
      <c r="AI19" s="4">
        <v>0</v>
      </c>
      <c r="AJ19" s="4">
        <v>1</v>
      </c>
      <c r="AK19" s="4">
        <v>36</v>
      </c>
      <c r="AL19" s="4">
        <v>400</v>
      </c>
      <c r="AM19" s="10">
        <v>13.333333333333334</v>
      </c>
      <c r="AN19" s="4" t="s">
        <v>79</v>
      </c>
      <c r="AO19" s="4" t="s">
        <v>95</v>
      </c>
      <c r="AP19" s="11" t="s">
        <v>96</v>
      </c>
      <c r="AQ19" s="8" t="s">
        <v>124</v>
      </c>
      <c r="AR19" s="8" t="s">
        <v>79</v>
      </c>
      <c r="AS19" s="4" t="s">
        <v>79</v>
      </c>
      <c r="AT19" s="4" t="s">
        <v>79</v>
      </c>
      <c r="AU19" s="4" t="s">
        <v>125</v>
      </c>
      <c r="AV19" s="4" t="s">
        <v>108</v>
      </c>
      <c r="AW19" s="4" t="s">
        <v>79</v>
      </c>
      <c r="AX19" s="4" t="s">
        <v>150</v>
      </c>
      <c r="AY19" s="4" t="s">
        <v>100</v>
      </c>
      <c r="AZ19" s="4" t="s">
        <v>90</v>
      </c>
      <c r="BA19" s="4" t="s">
        <v>90</v>
      </c>
      <c r="BB19" s="4" t="s">
        <v>151</v>
      </c>
      <c r="BC19" s="4" t="s">
        <v>79</v>
      </c>
      <c r="BD19" s="4" t="s">
        <v>95</v>
      </c>
      <c r="BE19" s="4" t="s">
        <v>79</v>
      </c>
      <c r="BF19" s="4" t="s">
        <v>102</v>
      </c>
      <c r="BG19" s="4" t="s">
        <v>103</v>
      </c>
      <c r="BH19" s="4" t="s">
        <v>79</v>
      </c>
      <c r="BI19" s="4" t="s">
        <v>152</v>
      </c>
      <c r="BJ19" s="4" t="s">
        <v>79</v>
      </c>
      <c r="BK19" s="5" t="s">
        <v>105</v>
      </c>
      <c r="BL19" s="4" t="s">
        <v>106</v>
      </c>
      <c r="BM19" s="4" t="s">
        <v>107</v>
      </c>
      <c r="BN19" s="5" t="s">
        <v>128</v>
      </c>
      <c r="BO19" s="4" t="s">
        <v>79</v>
      </c>
      <c r="BP19" s="6" t="s">
        <v>153</v>
      </c>
      <c r="BQ19" s="4" t="s">
        <v>154</v>
      </c>
      <c r="BR19" s="4" t="s">
        <v>111</v>
      </c>
      <c r="BS19" s="4" t="s">
        <v>80</v>
      </c>
      <c r="BT19" s="4" t="s">
        <v>79</v>
      </c>
      <c r="BU19" s="4" t="s">
        <v>112</v>
      </c>
      <c r="BV19" s="4" t="s">
        <v>113</v>
      </c>
      <c r="BW19" s="4" t="s">
        <v>145</v>
      </c>
      <c r="BX19" s="4" t="s">
        <v>155</v>
      </c>
      <c r="BY19" s="4">
        <v>3</v>
      </c>
      <c r="BZ19" s="4">
        <v>20</v>
      </c>
      <c r="CA19" s="8"/>
    </row>
    <row r="20" spans="1:79" ht="46.5" x14ac:dyDescent="0.35">
      <c r="A20" s="4" t="s">
        <v>233</v>
      </c>
      <c r="B20" s="4" t="s">
        <v>79</v>
      </c>
      <c r="C20" s="4" t="s">
        <v>79</v>
      </c>
      <c r="D20" s="5">
        <v>6</v>
      </c>
      <c r="E20" s="4" t="s">
        <v>79</v>
      </c>
      <c r="F20" s="4">
        <v>2</v>
      </c>
      <c r="G20" s="4" t="s">
        <v>79</v>
      </c>
      <c r="H20" s="4" t="s">
        <v>117</v>
      </c>
      <c r="I20" s="4" t="s">
        <v>80</v>
      </c>
      <c r="J20" s="4" t="s">
        <v>80</v>
      </c>
      <c r="K20" s="4" t="s">
        <v>118</v>
      </c>
      <c r="L20" s="4" t="s">
        <v>84</v>
      </c>
      <c r="M20" s="4" t="s">
        <v>85</v>
      </c>
      <c r="N20" s="4" t="s">
        <v>86</v>
      </c>
      <c r="O20" s="4">
        <v>6</v>
      </c>
      <c r="P20" s="4">
        <v>45</v>
      </c>
      <c r="Q20" s="4" t="s">
        <v>80</v>
      </c>
      <c r="R20" s="4">
        <v>2</v>
      </c>
      <c r="S20" s="14" t="s">
        <v>169</v>
      </c>
      <c r="T20" s="6">
        <v>12</v>
      </c>
      <c r="U20" s="4" t="s">
        <v>88</v>
      </c>
      <c r="V20" s="4" t="s">
        <v>79</v>
      </c>
      <c r="W20" s="4" t="s">
        <v>79</v>
      </c>
      <c r="X20" s="4" t="s">
        <v>89</v>
      </c>
      <c r="Y20" s="4" t="s">
        <v>80</v>
      </c>
      <c r="Z20" s="4" t="s">
        <v>90</v>
      </c>
      <c r="AA20" s="4" t="s">
        <v>79</v>
      </c>
      <c r="AB20" s="4" t="s">
        <v>121</v>
      </c>
      <c r="AC20" s="7" t="s">
        <v>135</v>
      </c>
      <c r="AD20" s="8" t="s">
        <v>93</v>
      </c>
      <c r="AE20" s="9">
        <v>2.08</v>
      </c>
      <c r="AF20" s="5" t="s">
        <v>149</v>
      </c>
      <c r="AG20" s="4">
        <v>6</v>
      </c>
      <c r="AH20" s="4">
        <v>0</v>
      </c>
      <c r="AI20" s="4">
        <v>1</v>
      </c>
      <c r="AJ20" s="4">
        <v>1</v>
      </c>
      <c r="AK20" s="4">
        <v>8</v>
      </c>
      <c r="AL20" s="4">
        <v>125</v>
      </c>
      <c r="AM20" s="4">
        <v>20.8</v>
      </c>
      <c r="AN20" s="4" t="s">
        <v>79</v>
      </c>
      <c r="AO20" s="4" t="s">
        <v>95</v>
      </c>
      <c r="AP20" s="11" t="s">
        <v>96</v>
      </c>
      <c r="AQ20" s="8" t="s">
        <v>124</v>
      </c>
      <c r="AR20" s="8" t="s">
        <v>79</v>
      </c>
      <c r="AS20" s="4" t="s">
        <v>79</v>
      </c>
      <c r="AT20" s="4" t="s">
        <v>79</v>
      </c>
      <c r="AU20" s="4" t="s">
        <v>108</v>
      </c>
      <c r="AV20" s="4" t="s">
        <v>108</v>
      </c>
      <c r="AW20" s="4" t="s">
        <v>79</v>
      </c>
      <c r="AX20" s="4" t="s">
        <v>99</v>
      </c>
      <c r="AY20" s="4" t="s">
        <v>100</v>
      </c>
      <c r="AZ20" s="4" t="s">
        <v>90</v>
      </c>
      <c r="BA20" s="4" t="s">
        <v>90</v>
      </c>
      <c r="BB20" s="4" t="s">
        <v>126</v>
      </c>
      <c r="BC20" s="4" t="s">
        <v>79</v>
      </c>
      <c r="BD20" s="4" t="s">
        <v>95</v>
      </c>
      <c r="BE20" s="4" t="s">
        <v>79</v>
      </c>
      <c r="BF20" s="4" t="s">
        <v>184</v>
      </c>
      <c r="BG20" s="4" t="s">
        <v>184</v>
      </c>
      <c r="BH20" s="4" t="s">
        <v>79</v>
      </c>
      <c r="BI20" s="4" t="s">
        <v>104</v>
      </c>
      <c r="BJ20" s="4" t="s">
        <v>79</v>
      </c>
      <c r="BK20" s="5" t="s">
        <v>105</v>
      </c>
      <c r="BL20" s="4" t="s">
        <v>106</v>
      </c>
      <c r="BM20" s="4" t="s">
        <v>107</v>
      </c>
      <c r="BN20" s="4" t="s">
        <v>108</v>
      </c>
      <c r="BO20" s="4" t="s">
        <v>79</v>
      </c>
      <c r="BP20" s="6" t="s">
        <v>234</v>
      </c>
      <c r="BQ20" s="4" t="s">
        <v>154</v>
      </c>
      <c r="BR20" s="4" t="s">
        <v>111</v>
      </c>
      <c r="BS20" s="4" t="s">
        <v>80</v>
      </c>
      <c r="BT20" s="4" t="s">
        <v>79</v>
      </c>
      <c r="BU20" s="4" t="s">
        <v>112</v>
      </c>
      <c r="BV20" s="4" t="s">
        <v>108</v>
      </c>
      <c r="BW20" s="4" t="s">
        <v>145</v>
      </c>
      <c r="BX20" s="4" t="s">
        <v>146</v>
      </c>
      <c r="BY20" s="4">
        <v>3</v>
      </c>
      <c r="BZ20" s="4">
        <v>14</v>
      </c>
      <c r="CA20" s="8"/>
    </row>
    <row r="21" spans="1:79" ht="46.5" x14ac:dyDescent="0.35">
      <c r="A21" s="4" t="s">
        <v>235</v>
      </c>
      <c r="B21" s="4" t="s">
        <v>79</v>
      </c>
      <c r="C21" s="4" t="s">
        <v>79</v>
      </c>
      <c r="D21" s="4">
        <v>30</v>
      </c>
      <c r="E21" s="4" t="s">
        <v>79</v>
      </c>
      <c r="F21" s="4">
        <v>3</v>
      </c>
      <c r="G21" s="4" t="s">
        <v>79</v>
      </c>
      <c r="H21" s="4" t="s">
        <v>117</v>
      </c>
      <c r="I21" s="4" t="s">
        <v>79</v>
      </c>
      <c r="J21" s="4" t="s">
        <v>80</v>
      </c>
      <c r="K21" s="4" t="s">
        <v>186</v>
      </c>
      <c r="L21" s="4" t="s">
        <v>84</v>
      </c>
      <c r="M21" s="4" t="s">
        <v>85</v>
      </c>
      <c r="N21" s="4" t="s">
        <v>86</v>
      </c>
      <c r="O21" s="4">
        <v>6</v>
      </c>
      <c r="P21" s="4" t="s">
        <v>236</v>
      </c>
      <c r="Q21" s="4" t="s">
        <v>80</v>
      </c>
      <c r="R21" s="4">
        <v>2</v>
      </c>
      <c r="S21" s="6" t="s">
        <v>237</v>
      </c>
      <c r="T21" s="6">
        <v>10</v>
      </c>
      <c r="U21" s="4" t="s">
        <v>88</v>
      </c>
      <c r="V21" s="4" t="s">
        <v>79</v>
      </c>
      <c r="W21" s="4" t="s">
        <v>79</v>
      </c>
      <c r="X21" s="4" t="s">
        <v>238</v>
      </c>
      <c r="Y21" s="4" t="s">
        <v>79</v>
      </c>
      <c r="Z21" s="4" t="s">
        <v>239</v>
      </c>
      <c r="AA21" s="4" t="s">
        <v>79</v>
      </c>
      <c r="AB21" s="4" t="s">
        <v>121</v>
      </c>
      <c r="AC21" s="7" t="s">
        <v>135</v>
      </c>
      <c r="AD21" s="8" t="s">
        <v>93</v>
      </c>
      <c r="AE21" s="9">
        <v>2.42</v>
      </c>
      <c r="AF21" s="5" t="s">
        <v>149</v>
      </c>
      <c r="AG21" s="4">
        <v>29</v>
      </c>
      <c r="AH21" s="4">
        <v>5</v>
      </c>
      <c r="AI21" s="4">
        <v>23</v>
      </c>
      <c r="AJ21" s="4">
        <v>10</v>
      </c>
      <c r="AK21" s="4">
        <v>67</v>
      </c>
      <c r="AL21" s="4">
        <v>700</v>
      </c>
      <c r="AM21" s="4">
        <v>24</v>
      </c>
      <c r="AN21" s="4" t="s">
        <v>79</v>
      </c>
      <c r="AO21" s="4" t="s">
        <v>95</v>
      </c>
      <c r="AP21" s="11" t="s">
        <v>96</v>
      </c>
      <c r="AQ21" s="8" t="s">
        <v>124</v>
      </c>
      <c r="AR21" s="8" t="s">
        <v>79</v>
      </c>
      <c r="AS21" s="4" t="s">
        <v>79</v>
      </c>
      <c r="AT21" s="4" t="s">
        <v>79</v>
      </c>
      <c r="AU21" s="4" t="s">
        <v>98</v>
      </c>
      <c r="AV21" s="4" t="s">
        <v>108</v>
      </c>
      <c r="AW21" s="4" t="s">
        <v>79</v>
      </c>
      <c r="AX21" s="4" t="s">
        <v>150</v>
      </c>
      <c r="AY21" s="4" t="s">
        <v>175</v>
      </c>
      <c r="AZ21" s="4" t="s">
        <v>79</v>
      </c>
      <c r="BA21" s="4" t="s">
        <v>240</v>
      </c>
      <c r="BB21" s="4" t="s">
        <v>126</v>
      </c>
      <c r="BC21" s="4" t="s">
        <v>79</v>
      </c>
      <c r="BD21" s="4" t="s">
        <v>95</v>
      </c>
      <c r="BE21" s="4" t="s">
        <v>79</v>
      </c>
      <c r="BF21" s="4" t="s">
        <v>241</v>
      </c>
      <c r="BG21" s="4" t="s">
        <v>103</v>
      </c>
      <c r="BH21" s="4" t="s">
        <v>79</v>
      </c>
      <c r="BI21" s="4" t="s">
        <v>241</v>
      </c>
      <c r="BJ21" s="4" t="s">
        <v>79</v>
      </c>
      <c r="BK21" s="5" t="s">
        <v>105</v>
      </c>
      <c r="BL21" s="4" t="s">
        <v>106</v>
      </c>
      <c r="BM21" s="4" t="s">
        <v>107</v>
      </c>
      <c r="BN21" s="4" t="s">
        <v>108</v>
      </c>
      <c r="BO21" s="4" t="s">
        <v>79</v>
      </c>
      <c r="BP21" s="6" t="s">
        <v>242</v>
      </c>
      <c r="BQ21" s="4" t="s">
        <v>154</v>
      </c>
      <c r="BR21" s="4" t="s">
        <v>111</v>
      </c>
      <c r="BS21" s="4" t="s">
        <v>79</v>
      </c>
      <c r="BT21" s="4" t="s">
        <v>79</v>
      </c>
      <c r="BU21" s="4" t="s">
        <v>243</v>
      </c>
      <c r="BV21" s="4" t="s">
        <v>244</v>
      </c>
      <c r="BW21" s="4" t="s">
        <v>80</v>
      </c>
      <c r="BX21" s="4" t="s">
        <v>231</v>
      </c>
      <c r="BY21" s="4">
        <v>2</v>
      </c>
      <c r="BZ21" s="16">
        <v>18</v>
      </c>
      <c r="CA21" s="8"/>
    </row>
    <row r="22" spans="1:79" x14ac:dyDescent="0.35">
      <c r="AE22" s="9"/>
    </row>
    <row r="23" spans="1:79" x14ac:dyDescent="0.35">
      <c r="AE23" s="9"/>
    </row>
    <row r="24" spans="1:79" x14ac:dyDescent="0.35">
      <c r="AE24" s="9"/>
    </row>
    <row r="25" spans="1:79" x14ac:dyDescent="0.35">
      <c r="AE25" s="9"/>
    </row>
    <row r="26" spans="1:79" x14ac:dyDescent="0.35">
      <c r="AE26" s="9"/>
    </row>
    <row r="27" spans="1:79" x14ac:dyDescent="0.35">
      <c r="AE27" s="9"/>
    </row>
    <row r="28" spans="1:79" x14ac:dyDescent="0.35">
      <c r="AE28" s="9"/>
    </row>
    <row r="29" spans="1:79" x14ac:dyDescent="0.35">
      <c r="AE29" s="9"/>
    </row>
    <row r="33" spans="19:79" s="4" customFormat="1" x14ac:dyDescent="0.35">
      <c r="S33" s="6"/>
      <c r="T33" s="6"/>
      <c r="AC33" s="5"/>
      <c r="AD33" s="8"/>
      <c r="AE33" s="5"/>
      <c r="AF33" s="5"/>
      <c r="AP33" s="17"/>
      <c r="AQ33" s="8"/>
      <c r="AR33" s="8"/>
      <c r="CA33" s="18"/>
    </row>
    <row r="34" spans="19:79" s="4" customFormat="1" x14ac:dyDescent="0.35">
      <c r="S34" s="6"/>
      <c r="T34" s="6"/>
      <c r="AC34" s="5"/>
      <c r="AD34" s="8"/>
      <c r="AE34" s="5"/>
      <c r="AF34" s="5"/>
      <c r="AP34" s="17"/>
      <c r="AQ34" s="8"/>
      <c r="AR34" s="8"/>
      <c r="CA34" s="18"/>
    </row>
    <row r="35" spans="19:79" s="4" customFormat="1" x14ac:dyDescent="0.35">
      <c r="S35" s="6"/>
      <c r="T35" s="6"/>
      <c r="AC35" s="5"/>
      <c r="AD35" s="8"/>
      <c r="AE35" s="5"/>
      <c r="AF35" s="5"/>
      <c r="AP35" s="17"/>
      <c r="AQ35" s="8"/>
      <c r="AR35" s="8"/>
      <c r="CA35" s="18"/>
    </row>
    <row r="36" spans="19:79" s="4" customFormat="1" x14ac:dyDescent="0.35">
      <c r="S36" s="6"/>
      <c r="T36" s="6"/>
      <c r="AC36" s="5"/>
      <c r="AD36" s="8"/>
      <c r="AE36" s="5"/>
      <c r="AF36" s="5"/>
      <c r="AP36" s="17"/>
      <c r="AQ36" s="8"/>
      <c r="AR36" s="8"/>
      <c r="CA36" s="18"/>
    </row>
    <row r="37" spans="19:79" s="4" customFormat="1" x14ac:dyDescent="0.35">
      <c r="S37" s="6"/>
      <c r="T37" s="6"/>
      <c r="AC37" s="5"/>
      <c r="AD37" s="8"/>
      <c r="AE37" s="5"/>
      <c r="AF37" s="5"/>
      <c r="AP37" s="17"/>
      <c r="AQ37" s="8"/>
      <c r="AR37" s="8"/>
      <c r="CA37" s="18"/>
    </row>
    <row r="38" spans="19:79" s="4" customFormat="1" x14ac:dyDescent="0.35">
      <c r="S38" s="6"/>
      <c r="T38" s="6"/>
      <c r="AC38" s="5"/>
      <c r="AD38" s="8"/>
      <c r="AE38" s="5"/>
      <c r="AF38" s="5"/>
      <c r="AP38" s="17"/>
      <c r="AQ38" s="8"/>
      <c r="AR38" s="8"/>
      <c r="CA38" s="18"/>
    </row>
    <row r="39" spans="19:79" s="4" customFormat="1" x14ac:dyDescent="0.35">
      <c r="S39" s="6"/>
      <c r="T39" s="6"/>
      <c r="AC39" s="5"/>
      <c r="AD39" s="8"/>
      <c r="AE39" s="5"/>
      <c r="AF39" s="5"/>
      <c r="AP39" s="17"/>
      <c r="AQ39" s="8"/>
      <c r="AR39" s="8"/>
      <c r="CA39" s="18"/>
    </row>
    <row r="40" spans="19:79" s="4" customFormat="1" x14ac:dyDescent="0.35">
      <c r="S40" s="6"/>
      <c r="T40" s="6"/>
      <c r="AC40" s="5"/>
      <c r="AD40" s="8"/>
      <c r="AE40" s="5"/>
      <c r="AF40" s="5"/>
      <c r="AP40" s="17"/>
      <c r="AQ40" s="8"/>
      <c r="AR40" s="8"/>
      <c r="CA40" s="18"/>
    </row>
    <row r="41" spans="19:79" s="4" customFormat="1" x14ac:dyDescent="0.35">
      <c r="S41" s="6"/>
      <c r="T41" s="6"/>
      <c r="AC41" s="5"/>
      <c r="AD41" s="8"/>
      <c r="AE41" s="5"/>
      <c r="AF41" s="5"/>
      <c r="AP41" s="17"/>
      <c r="AQ41" s="8"/>
      <c r="AR41" s="8"/>
      <c r="CA41" s="18"/>
    </row>
    <row r="42" spans="19:79" s="4" customFormat="1" x14ac:dyDescent="0.35">
      <c r="S42" s="6"/>
      <c r="T42" s="6"/>
      <c r="AC42" s="5"/>
      <c r="AD42" s="8"/>
      <c r="AE42" s="5"/>
      <c r="AF42" s="5"/>
      <c r="AP42" s="17"/>
      <c r="AQ42" s="8"/>
      <c r="AR42" s="8"/>
      <c r="CA42" s="18"/>
    </row>
    <row r="43" spans="19:79" s="4" customFormat="1" x14ac:dyDescent="0.35">
      <c r="S43" s="6"/>
      <c r="T43" s="6"/>
      <c r="AC43" s="5"/>
      <c r="AD43" s="8"/>
      <c r="AE43" s="5"/>
      <c r="AF43" s="5"/>
      <c r="AP43" s="17"/>
      <c r="AQ43" s="8"/>
      <c r="AR43" s="8"/>
      <c r="CA43" s="18"/>
    </row>
    <row r="44" spans="19:79" s="4" customFormat="1" x14ac:dyDescent="0.35">
      <c r="S44" s="6"/>
      <c r="T44" s="6"/>
      <c r="AC44" s="5"/>
      <c r="AD44" s="8"/>
      <c r="AE44" s="5"/>
      <c r="AF44" s="5"/>
      <c r="AP44" s="17"/>
      <c r="AQ44" s="8"/>
      <c r="AR44" s="8"/>
      <c r="CA44" s="18"/>
    </row>
    <row r="45" spans="19:79" s="4" customFormat="1" x14ac:dyDescent="0.35">
      <c r="S45" s="6"/>
      <c r="T45" s="6"/>
      <c r="AC45" s="5"/>
      <c r="AD45" s="8"/>
      <c r="AE45" s="5"/>
      <c r="AF45" s="5"/>
      <c r="AP45" s="17"/>
      <c r="AQ45" s="8"/>
      <c r="AR45" s="8"/>
      <c r="CA45" s="18"/>
    </row>
    <row r="46" spans="19:79" s="4" customFormat="1" x14ac:dyDescent="0.35">
      <c r="S46" s="6"/>
      <c r="T46" s="6"/>
      <c r="AC46" s="5"/>
      <c r="AD46" s="8"/>
      <c r="AE46" s="5"/>
      <c r="AF46" s="5"/>
      <c r="AP46" s="17"/>
      <c r="AQ46" s="8"/>
      <c r="AR46" s="8"/>
      <c r="CA46" s="18"/>
    </row>
    <row r="47" spans="19:79" s="4" customFormat="1" x14ac:dyDescent="0.35">
      <c r="S47" s="6"/>
      <c r="T47" s="6"/>
      <c r="AC47" s="5"/>
      <c r="AD47" s="8"/>
      <c r="AE47" s="5"/>
      <c r="AF47" s="5"/>
      <c r="AP47" s="17"/>
      <c r="AQ47" s="8"/>
      <c r="AR47" s="8"/>
      <c r="CA47" s="18"/>
    </row>
    <row r="48" spans="19:79" s="4" customFormat="1" x14ac:dyDescent="0.35">
      <c r="S48" s="6"/>
      <c r="T48" s="6"/>
      <c r="AC48" s="5"/>
      <c r="AD48" s="8"/>
      <c r="AE48" s="5"/>
      <c r="AF48" s="5"/>
      <c r="AP48" s="17"/>
      <c r="AQ48" s="8"/>
      <c r="AR48" s="8"/>
      <c r="CA48" s="18"/>
    </row>
    <row r="49" spans="19:79" s="4" customFormat="1" x14ac:dyDescent="0.35">
      <c r="S49" s="6"/>
      <c r="T49" s="6"/>
      <c r="AC49" s="5"/>
      <c r="AD49" s="8"/>
      <c r="AE49" s="5"/>
      <c r="AF49" s="5"/>
      <c r="AP49" s="17"/>
      <c r="AQ49" s="8"/>
      <c r="AR49" s="8"/>
      <c r="CA49" s="18"/>
    </row>
    <row r="50" spans="19:79" s="4" customFormat="1" x14ac:dyDescent="0.35">
      <c r="S50" s="19"/>
      <c r="T50" s="19"/>
      <c r="AC50" s="5"/>
      <c r="AD50" s="8"/>
      <c r="AE50" s="5"/>
      <c r="AF50" s="5"/>
      <c r="AP50" s="17"/>
      <c r="AQ50" s="8"/>
      <c r="AR50" s="8"/>
      <c r="CA50" s="18"/>
    </row>
    <row r="51" spans="19:79" s="4" customFormat="1" x14ac:dyDescent="0.35">
      <c r="S51" s="20"/>
      <c r="T51" s="20"/>
      <c r="AC51" s="5"/>
      <c r="AD51" s="8"/>
      <c r="AE51" s="5"/>
      <c r="AF51" s="5"/>
      <c r="AP51" s="17"/>
      <c r="AQ51" s="8"/>
      <c r="AR51" s="8"/>
      <c r="CA51" s="18"/>
    </row>
    <row r="52" spans="19:79" s="4" customFormat="1" x14ac:dyDescent="0.35">
      <c r="S52" s="20"/>
      <c r="T52" s="20"/>
      <c r="AC52" s="5"/>
      <c r="AD52" s="8"/>
      <c r="AE52" s="5"/>
      <c r="AF52" s="5"/>
      <c r="AP52" s="17"/>
      <c r="AQ52" s="8"/>
      <c r="AR52" s="8"/>
      <c r="CA52" s="18"/>
    </row>
    <row r="53" spans="19:79" s="4" customFormat="1" x14ac:dyDescent="0.35">
      <c r="S53" s="20"/>
      <c r="T53" s="20"/>
      <c r="AC53" s="5"/>
      <c r="AD53" s="8"/>
      <c r="AE53" s="5"/>
      <c r="AF53" s="5"/>
      <c r="AP53" s="17"/>
      <c r="AQ53" s="8"/>
      <c r="AR53" s="8"/>
      <c r="CA53" s="18"/>
    </row>
    <row r="54" spans="19:79" s="4" customFormat="1" x14ac:dyDescent="0.35">
      <c r="S54" s="20"/>
      <c r="T54" s="20"/>
      <c r="AC54" s="5"/>
      <c r="AD54" s="8"/>
      <c r="AE54" s="5"/>
      <c r="AF54" s="5"/>
      <c r="AP54" s="17"/>
      <c r="AQ54" s="8"/>
      <c r="AR54" s="8"/>
      <c r="CA54" s="18"/>
    </row>
    <row r="55" spans="19:79" s="4" customFormat="1" x14ac:dyDescent="0.35">
      <c r="S55" s="20"/>
      <c r="T55" s="20"/>
      <c r="AC55" s="5"/>
      <c r="AD55" s="8"/>
      <c r="AE55" s="5"/>
      <c r="AF55" s="5"/>
      <c r="AP55" s="17"/>
      <c r="AQ55" s="8"/>
      <c r="AR55" s="8"/>
      <c r="CA55" s="18"/>
    </row>
    <row r="56" spans="19:79" s="4" customFormat="1" x14ac:dyDescent="0.35">
      <c r="S56" s="20"/>
      <c r="T56" s="20"/>
      <c r="AC56" s="5"/>
      <c r="AD56" s="8"/>
      <c r="AE56" s="5"/>
      <c r="AF56" s="5"/>
      <c r="AP56" s="17"/>
      <c r="AQ56" s="8"/>
      <c r="AR56" s="8"/>
      <c r="CA56" s="18"/>
    </row>
    <row r="57" spans="19:79" s="4" customFormat="1" x14ac:dyDescent="0.35">
      <c r="S57" s="20"/>
      <c r="T57" s="20"/>
      <c r="AC57" s="5"/>
      <c r="AD57" s="8"/>
      <c r="AE57" s="5"/>
      <c r="AF57" s="5"/>
      <c r="AP57" s="17"/>
      <c r="AQ57" s="8"/>
      <c r="AR57" s="8"/>
      <c r="CA57" s="18"/>
    </row>
    <row r="58" spans="19:79" s="4" customFormat="1" x14ac:dyDescent="0.35">
      <c r="S58" s="20"/>
      <c r="T58" s="20"/>
      <c r="AC58" s="5"/>
      <c r="AD58" s="8"/>
      <c r="AE58" s="5"/>
      <c r="AF58" s="5"/>
      <c r="AP58" s="17"/>
      <c r="AQ58" s="8"/>
      <c r="AR58" s="8"/>
      <c r="CA58" s="18"/>
    </row>
    <row r="59" spans="19:79" s="4" customFormat="1" x14ac:dyDescent="0.35">
      <c r="S59" s="20"/>
      <c r="T59" s="20"/>
      <c r="AC59" s="5"/>
      <c r="AD59" s="8"/>
      <c r="AE59" s="5"/>
      <c r="AF59" s="5"/>
      <c r="AP59" s="17"/>
      <c r="AQ59" s="8"/>
      <c r="AR59" s="8"/>
      <c r="CA59" s="18"/>
    </row>
    <row r="60" spans="19:79" s="4" customFormat="1" x14ac:dyDescent="0.35">
      <c r="S60" s="20"/>
      <c r="T60" s="20"/>
      <c r="AC60" s="5"/>
      <c r="AD60" s="8"/>
      <c r="AE60" s="5"/>
      <c r="AF60" s="5"/>
      <c r="AP60" s="17"/>
      <c r="AQ60" s="8"/>
      <c r="AR60" s="8"/>
      <c r="CA60" s="18"/>
    </row>
    <row r="61" spans="19:79" s="4" customFormat="1" x14ac:dyDescent="0.35">
      <c r="S61" s="20"/>
      <c r="T61" s="20"/>
      <c r="AC61" s="5"/>
      <c r="AD61" s="8"/>
      <c r="AE61" s="5"/>
      <c r="AF61" s="5"/>
      <c r="AP61" s="17"/>
      <c r="AQ61" s="8"/>
      <c r="AR61" s="8"/>
      <c r="CA61" s="18"/>
    </row>
    <row r="62" spans="19:79" s="4" customFormat="1" x14ac:dyDescent="0.35">
      <c r="S62" s="20"/>
      <c r="T62" s="20"/>
      <c r="AC62" s="5"/>
      <c r="AD62" s="8"/>
      <c r="AE62" s="5"/>
      <c r="AF62" s="5"/>
      <c r="AP62" s="17"/>
      <c r="AQ62" s="8"/>
      <c r="AR62" s="8"/>
      <c r="CA62" s="18"/>
    </row>
    <row r="63" spans="19:79" s="4" customFormat="1" x14ac:dyDescent="0.35">
      <c r="S63" s="20"/>
      <c r="T63" s="20"/>
      <c r="AC63" s="5"/>
      <c r="AD63" s="8"/>
      <c r="AE63" s="5"/>
      <c r="AF63" s="5"/>
      <c r="AP63" s="17"/>
      <c r="AQ63" s="8"/>
      <c r="AR63" s="8"/>
      <c r="CA63" s="18"/>
    </row>
    <row r="64" spans="19:79" s="4" customFormat="1" x14ac:dyDescent="0.35">
      <c r="S64" s="20"/>
      <c r="T64" s="20"/>
      <c r="AC64" s="5"/>
      <c r="AD64" s="8"/>
      <c r="AE64" s="5"/>
      <c r="AF64" s="5"/>
      <c r="AP64" s="17"/>
      <c r="AQ64" s="8"/>
      <c r="AR64" s="8"/>
      <c r="CA64" s="18"/>
    </row>
    <row r="65" spans="19:79" s="4" customFormat="1" x14ac:dyDescent="0.35">
      <c r="S65" s="20"/>
      <c r="T65" s="20"/>
      <c r="AC65" s="5"/>
      <c r="AD65" s="8"/>
      <c r="AE65" s="5"/>
      <c r="AF65" s="5"/>
      <c r="AP65" s="17"/>
      <c r="AQ65" s="8"/>
      <c r="AR65" s="8"/>
      <c r="CA65" s="18"/>
    </row>
    <row r="66" spans="19:79" s="4" customFormat="1" x14ac:dyDescent="0.35">
      <c r="S66" s="20"/>
      <c r="T66" s="20"/>
      <c r="AC66" s="5"/>
      <c r="AD66" s="8"/>
      <c r="AE66" s="5"/>
      <c r="AF66" s="5"/>
      <c r="AP66" s="17"/>
      <c r="AQ66" s="8"/>
      <c r="AR66" s="8"/>
      <c r="CA66" s="18"/>
    </row>
    <row r="67" spans="19:79" s="4" customFormat="1" x14ac:dyDescent="0.35">
      <c r="S67" s="20"/>
      <c r="T67" s="20"/>
      <c r="AC67" s="5"/>
      <c r="AD67" s="8"/>
      <c r="AE67" s="5"/>
      <c r="AF67" s="5"/>
      <c r="AP67" s="17"/>
      <c r="AQ67" s="8"/>
      <c r="AR67" s="8"/>
      <c r="CA67" s="18"/>
    </row>
    <row r="68" spans="19:79" s="4" customFormat="1" x14ac:dyDescent="0.35">
      <c r="S68" s="20"/>
      <c r="T68" s="20"/>
      <c r="AC68" s="5"/>
      <c r="AD68" s="8"/>
      <c r="AE68" s="5"/>
      <c r="AF68" s="5"/>
      <c r="AP68" s="17"/>
      <c r="AQ68" s="8"/>
      <c r="AR68" s="8"/>
      <c r="CA68" s="18"/>
    </row>
    <row r="69" spans="19:79" s="4" customFormat="1" x14ac:dyDescent="0.35">
      <c r="S69" s="20"/>
      <c r="T69" s="20"/>
      <c r="AC69" s="5"/>
      <c r="AD69" s="8"/>
      <c r="AE69" s="5"/>
      <c r="AF69" s="5"/>
      <c r="AP69" s="17"/>
      <c r="AQ69" s="8"/>
      <c r="AR69" s="8"/>
      <c r="CA69" s="18"/>
    </row>
    <row r="70" spans="19:79" s="4" customFormat="1" x14ac:dyDescent="0.35">
      <c r="S70" s="20"/>
      <c r="T70" s="20"/>
      <c r="AC70" s="5"/>
      <c r="AD70" s="8"/>
      <c r="AE70" s="5"/>
      <c r="AF70" s="5"/>
      <c r="AP70" s="17"/>
      <c r="AQ70" s="8"/>
      <c r="AR70" s="8"/>
      <c r="CA70" s="18"/>
    </row>
    <row r="71" spans="19:79" s="4" customFormat="1" x14ac:dyDescent="0.35">
      <c r="S71" s="6"/>
      <c r="T71" s="6"/>
      <c r="AC71" s="5"/>
      <c r="AD71" s="8"/>
      <c r="AE71" s="5"/>
      <c r="AF71" s="5"/>
      <c r="AP71" s="17"/>
      <c r="AQ71" s="8"/>
      <c r="AR71" s="8"/>
      <c r="CA71" s="18"/>
    </row>
    <row r="72" spans="19:79" s="4" customFormat="1" x14ac:dyDescent="0.35">
      <c r="S72" s="6"/>
      <c r="T72" s="6"/>
      <c r="AC72" s="5"/>
      <c r="AD72" s="8"/>
      <c r="AE72" s="5"/>
      <c r="AF72" s="5"/>
      <c r="AP72" s="17"/>
      <c r="AQ72" s="8"/>
      <c r="AR72" s="8"/>
      <c r="CA72" s="18"/>
    </row>
    <row r="73" spans="19:79" s="4" customFormat="1" x14ac:dyDescent="0.35">
      <c r="S73" s="6"/>
      <c r="T73" s="6"/>
      <c r="AC73" s="5"/>
      <c r="AD73" s="8"/>
      <c r="AE73" s="5"/>
      <c r="AF73" s="5"/>
      <c r="AP73" s="17"/>
      <c r="AQ73" s="8"/>
      <c r="AR73" s="8"/>
      <c r="CA73" s="18"/>
    </row>
    <row r="74" spans="19:79" s="4" customFormat="1" x14ac:dyDescent="0.35">
      <c r="S74" s="6"/>
      <c r="T74" s="6"/>
      <c r="AC74" s="5"/>
      <c r="AD74" s="8"/>
      <c r="AE74" s="5"/>
      <c r="AF74" s="5"/>
      <c r="AP74" s="17"/>
      <c r="AQ74" s="8"/>
      <c r="AR74" s="8"/>
      <c r="CA74" s="18"/>
    </row>
    <row r="75" spans="19:79" s="4" customFormat="1" x14ac:dyDescent="0.35">
      <c r="S75" s="6"/>
      <c r="T75" s="6"/>
      <c r="AC75" s="5"/>
      <c r="AD75" s="8"/>
      <c r="AE75" s="5"/>
      <c r="AF75" s="5"/>
      <c r="AP75" s="17"/>
      <c r="AQ75" s="8"/>
      <c r="AR75" s="8"/>
      <c r="CA75" s="18"/>
    </row>
    <row r="76" spans="19:79" s="4" customFormat="1" x14ac:dyDescent="0.35">
      <c r="S76" s="6"/>
      <c r="T76" s="6"/>
      <c r="AC76" s="5"/>
      <c r="AD76" s="8"/>
      <c r="AE76" s="5"/>
      <c r="AF76" s="5"/>
      <c r="AP76" s="17"/>
      <c r="AQ76" s="8"/>
      <c r="AR76" s="8"/>
      <c r="CA76" s="18"/>
    </row>
    <row r="77" spans="19:79" s="4" customFormat="1" x14ac:dyDescent="0.35">
      <c r="S77" s="6"/>
      <c r="T77" s="6"/>
      <c r="AC77" s="5"/>
      <c r="AD77" s="8"/>
      <c r="AE77" s="5"/>
      <c r="AF77" s="5"/>
      <c r="AP77" s="17"/>
      <c r="AQ77" s="8"/>
      <c r="AR77" s="8"/>
      <c r="CA77" s="18"/>
    </row>
    <row r="78" spans="19:79" s="4" customFormat="1" x14ac:dyDescent="0.35">
      <c r="S78" s="6"/>
      <c r="T78" s="6"/>
      <c r="AC78" s="5"/>
      <c r="AD78" s="8"/>
      <c r="AE78" s="5"/>
      <c r="AF78" s="5"/>
      <c r="AP78" s="17"/>
      <c r="AQ78" s="8"/>
      <c r="AR78" s="8"/>
      <c r="CA78" s="18"/>
    </row>
    <row r="79" spans="19:79" s="4" customFormat="1" x14ac:dyDescent="0.35">
      <c r="S79" s="6"/>
      <c r="T79" s="6"/>
      <c r="AC79" s="5"/>
      <c r="AD79" s="8"/>
      <c r="AE79" s="5"/>
      <c r="AF79" s="5"/>
      <c r="AP79" s="17"/>
      <c r="AQ79" s="8"/>
      <c r="AR79" s="8"/>
      <c r="CA79" s="18"/>
    </row>
    <row r="80" spans="19:79" s="4" customFormat="1" x14ac:dyDescent="0.35">
      <c r="S80" s="6"/>
      <c r="T80" s="6"/>
      <c r="AC80" s="5"/>
      <c r="AD80" s="8"/>
      <c r="AE80" s="5"/>
      <c r="AF80" s="5"/>
      <c r="AP80" s="17"/>
      <c r="AQ80" s="8"/>
      <c r="AR80" s="8"/>
      <c r="CA80" s="18"/>
    </row>
    <row r="81" spans="19:79" s="4" customFormat="1" x14ac:dyDescent="0.35">
      <c r="S81" s="6"/>
      <c r="T81" s="6"/>
      <c r="AC81" s="5"/>
      <c r="AD81" s="8"/>
      <c r="AE81" s="5"/>
      <c r="AF81" s="5"/>
      <c r="AP81" s="17"/>
      <c r="AQ81" s="8"/>
      <c r="AR81" s="8"/>
      <c r="CA81" s="18"/>
    </row>
    <row r="82" spans="19:79" s="4" customFormat="1" x14ac:dyDescent="0.35">
      <c r="S82" s="6"/>
      <c r="T82" s="6"/>
      <c r="AC82" s="5"/>
      <c r="AD82" s="8"/>
      <c r="AE82" s="5"/>
      <c r="AF82" s="5"/>
      <c r="AP82" s="17"/>
      <c r="AQ82" s="8"/>
      <c r="AR82" s="8"/>
      <c r="CA82" s="18"/>
    </row>
    <row r="83" spans="19:79" s="4" customFormat="1" x14ac:dyDescent="0.35">
      <c r="S83" s="6"/>
      <c r="T83" s="6"/>
      <c r="AC83" s="5"/>
      <c r="AD83" s="8"/>
      <c r="AE83" s="5"/>
      <c r="AF83" s="5"/>
      <c r="AP83" s="17"/>
      <c r="AQ83" s="8"/>
      <c r="AR83" s="8"/>
      <c r="CA83" s="18"/>
    </row>
    <row r="84" spans="19:79" s="4" customFormat="1" x14ac:dyDescent="0.35">
      <c r="S84" s="6"/>
      <c r="T84" s="6"/>
      <c r="AC84" s="5"/>
      <c r="AD84" s="8"/>
      <c r="AE84" s="5"/>
      <c r="AF84" s="5"/>
      <c r="AP84" s="17"/>
      <c r="AQ84" s="8"/>
      <c r="AR84" s="8"/>
      <c r="CA84" s="18"/>
    </row>
    <row r="85" spans="19:79" s="4" customFormat="1" x14ac:dyDescent="0.35">
      <c r="S85" s="6"/>
      <c r="T85" s="6"/>
      <c r="AC85" s="5"/>
      <c r="AD85" s="8"/>
      <c r="AE85" s="5"/>
      <c r="AF85" s="5"/>
      <c r="AP85" s="17"/>
      <c r="AQ85" s="8"/>
      <c r="AR85" s="8"/>
      <c r="CA85" s="18"/>
    </row>
    <row r="86" spans="19:79" s="4" customFormat="1" x14ac:dyDescent="0.35">
      <c r="S86" s="6"/>
      <c r="T86" s="6"/>
      <c r="AC86" s="5"/>
      <c r="AD86" s="8"/>
      <c r="AE86" s="5"/>
      <c r="AF86" s="5"/>
      <c r="AP86" s="17"/>
      <c r="AQ86" s="8"/>
      <c r="AR86" s="8"/>
      <c r="CA86" s="18"/>
    </row>
    <row r="87" spans="19:79" s="4" customFormat="1" x14ac:dyDescent="0.35">
      <c r="S87" s="6"/>
      <c r="T87" s="6"/>
      <c r="AC87" s="5"/>
      <c r="AD87" s="8"/>
      <c r="AE87" s="5"/>
      <c r="AF87" s="5"/>
      <c r="AP87" s="17"/>
      <c r="AQ87" s="8"/>
      <c r="AR87" s="8"/>
      <c r="CA87" s="18"/>
    </row>
    <row r="88" spans="19:79" s="4" customFormat="1" x14ac:dyDescent="0.35">
      <c r="S88" s="6"/>
      <c r="T88" s="6"/>
      <c r="AC88" s="5"/>
      <c r="AD88" s="8"/>
      <c r="AE88" s="5"/>
      <c r="AF88" s="5"/>
      <c r="AP88" s="17"/>
      <c r="AQ88" s="8"/>
      <c r="AR88" s="8"/>
      <c r="CA88" s="18"/>
    </row>
    <row r="89" spans="19:79" s="4" customFormat="1" x14ac:dyDescent="0.35">
      <c r="S89" s="6"/>
      <c r="T89" s="6"/>
      <c r="AC89" s="5"/>
      <c r="AD89" s="8"/>
      <c r="AE89" s="5"/>
      <c r="AF89" s="5"/>
      <c r="AP89" s="17"/>
      <c r="AQ89" s="8"/>
      <c r="AR89" s="8"/>
      <c r="CA89" s="18"/>
    </row>
    <row r="90" spans="19:79" s="4" customFormat="1" x14ac:dyDescent="0.35">
      <c r="S90" s="6"/>
      <c r="T90" s="6"/>
      <c r="AC90" s="5"/>
      <c r="AD90" s="8"/>
      <c r="AE90" s="5"/>
      <c r="AF90" s="5"/>
      <c r="AP90" s="17"/>
      <c r="AQ90" s="8"/>
      <c r="AR90" s="8"/>
      <c r="CA90" s="18"/>
    </row>
    <row r="91" spans="19:79" s="4" customFormat="1" x14ac:dyDescent="0.35">
      <c r="S91" s="6"/>
      <c r="T91" s="6"/>
      <c r="AC91" s="5"/>
      <c r="AD91" s="8"/>
      <c r="AE91" s="5"/>
      <c r="AF91" s="5"/>
      <c r="AP91" s="17"/>
      <c r="AQ91" s="8"/>
      <c r="AR91" s="8"/>
      <c r="CA91" s="18"/>
    </row>
    <row r="92" spans="19:79" s="4" customFormat="1" x14ac:dyDescent="0.35">
      <c r="S92" s="6"/>
      <c r="T92" s="6"/>
      <c r="AC92" s="5"/>
      <c r="AD92" s="8"/>
      <c r="AE92" s="5"/>
      <c r="AF92" s="5"/>
      <c r="AP92" s="17"/>
      <c r="AQ92" s="8"/>
      <c r="AR92" s="8"/>
      <c r="CA92" s="18"/>
    </row>
    <row r="93" spans="19:79" s="4" customFormat="1" x14ac:dyDescent="0.35">
      <c r="S93" s="6"/>
      <c r="T93" s="6"/>
      <c r="AC93" s="5"/>
      <c r="AD93" s="8"/>
      <c r="AE93" s="5"/>
      <c r="AF93" s="5"/>
      <c r="AP93" s="17"/>
      <c r="AQ93" s="8"/>
      <c r="AR93" s="8"/>
      <c r="CA93" s="18"/>
    </row>
    <row r="94" spans="19:79" s="4" customFormat="1" x14ac:dyDescent="0.35">
      <c r="S94" s="6"/>
      <c r="T94" s="6"/>
      <c r="AC94" s="5"/>
      <c r="AD94" s="8"/>
      <c r="AE94" s="5"/>
      <c r="AF94" s="5"/>
      <c r="AP94" s="17"/>
      <c r="AQ94" s="8"/>
      <c r="AR94" s="8"/>
      <c r="CA94" s="18"/>
    </row>
    <row r="95" spans="19:79" s="4" customFormat="1" x14ac:dyDescent="0.35">
      <c r="S95" s="6"/>
      <c r="T95" s="6"/>
      <c r="AC95" s="5"/>
      <c r="AD95" s="8"/>
      <c r="AE95" s="5"/>
      <c r="AF95" s="5"/>
      <c r="AP95" s="17"/>
      <c r="AQ95" s="8"/>
      <c r="AR95" s="8"/>
      <c r="CA95" s="18"/>
    </row>
    <row r="96" spans="19:79" s="4" customFormat="1" x14ac:dyDescent="0.35">
      <c r="S96" s="6"/>
      <c r="T96" s="6"/>
      <c r="AC96" s="5"/>
      <c r="AD96" s="8"/>
      <c r="AE96" s="5"/>
      <c r="AF96" s="5"/>
      <c r="AP96" s="17"/>
      <c r="AQ96" s="8"/>
      <c r="AR96" s="8"/>
      <c r="CA96" s="18"/>
    </row>
    <row r="97" spans="19:79" s="4" customFormat="1" x14ac:dyDescent="0.35">
      <c r="S97" s="6"/>
      <c r="T97" s="6"/>
      <c r="AC97" s="5"/>
      <c r="AD97" s="8"/>
      <c r="AE97" s="5"/>
      <c r="AF97" s="5"/>
      <c r="AP97" s="17"/>
      <c r="AQ97" s="8"/>
      <c r="AR97" s="8"/>
      <c r="CA97" s="18"/>
    </row>
    <row r="98" spans="19:79" s="4" customFormat="1" x14ac:dyDescent="0.35">
      <c r="S98" s="6"/>
      <c r="T98" s="6"/>
      <c r="AC98" s="5"/>
      <c r="AD98" s="8"/>
      <c r="AE98" s="5"/>
      <c r="AF98" s="5"/>
      <c r="AP98" s="17"/>
      <c r="AQ98" s="8"/>
      <c r="AR98" s="8"/>
      <c r="CA98" s="18"/>
    </row>
    <row r="99" spans="19:79" s="4" customFormat="1" x14ac:dyDescent="0.35">
      <c r="S99" s="6"/>
      <c r="T99" s="6"/>
      <c r="AC99" s="5"/>
      <c r="AD99" s="8"/>
      <c r="AE99" s="5"/>
      <c r="AF99" s="5"/>
      <c r="AP99" s="17"/>
      <c r="AQ99" s="8"/>
      <c r="AR99" s="8"/>
      <c r="CA99" s="18"/>
    </row>
    <row r="100" spans="19:79" s="4" customFormat="1" x14ac:dyDescent="0.35">
      <c r="S100" s="6"/>
      <c r="T100" s="6"/>
      <c r="AC100" s="5"/>
      <c r="AD100" s="8"/>
      <c r="AE100" s="5"/>
      <c r="AF100" s="5"/>
      <c r="AP100" s="17"/>
      <c r="AQ100" s="8"/>
      <c r="AR100" s="8"/>
      <c r="CA100" s="18"/>
    </row>
    <row r="101" spans="19:79" s="4" customFormat="1" x14ac:dyDescent="0.35">
      <c r="S101" s="6"/>
      <c r="T101" s="6"/>
      <c r="AC101" s="5"/>
      <c r="AD101" s="8"/>
      <c r="AE101" s="5"/>
      <c r="AF101" s="5"/>
      <c r="AP101" s="17"/>
      <c r="AQ101" s="8"/>
      <c r="AR101" s="8"/>
      <c r="CA101" s="18"/>
    </row>
    <row r="102" spans="19:79" s="4" customFormat="1" x14ac:dyDescent="0.35">
      <c r="S102" s="6"/>
      <c r="T102" s="6"/>
      <c r="AC102" s="5"/>
      <c r="AD102" s="8"/>
      <c r="AE102" s="5"/>
      <c r="AF102" s="5"/>
      <c r="AP102" s="17"/>
      <c r="AQ102" s="8"/>
      <c r="AR102" s="8"/>
      <c r="CA102" s="18"/>
    </row>
    <row r="103" spans="19:79" s="4" customFormat="1" x14ac:dyDescent="0.35">
      <c r="S103" s="6"/>
      <c r="T103" s="6"/>
      <c r="AC103" s="5"/>
      <c r="AD103" s="8"/>
      <c r="AE103" s="5"/>
      <c r="AF103" s="5"/>
      <c r="AP103" s="17"/>
      <c r="AQ103" s="8"/>
      <c r="AR103" s="8"/>
      <c r="CA103" s="18"/>
    </row>
    <row r="104" spans="19:79" s="4" customFormat="1" x14ac:dyDescent="0.35">
      <c r="S104" s="6"/>
      <c r="T104" s="6"/>
      <c r="AC104" s="5"/>
      <c r="AD104" s="8"/>
      <c r="AE104" s="5"/>
      <c r="AF104" s="5"/>
      <c r="AP104" s="17"/>
      <c r="AQ104" s="8"/>
      <c r="AR104" s="8"/>
      <c r="CA104" s="18"/>
    </row>
    <row r="105" spans="19:79" s="4" customFormat="1" x14ac:dyDescent="0.35">
      <c r="S105" s="6"/>
      <c r="T105" s="6"/>
      <c r="AC105" s="5"/>
      <c r="AD105" s="8"/>
      <c r="AE105" s="5"/>
      <c r="AF105" s="5"/>
      <c r="AP105" s="17"/>
      <c r="AQ105" s="8"/>
      <c r="AR105" s="8"/>
      <c r="CA105" s="18"/>
    </row>
    <row r="106" spans="19:79" s="4" customFormat="1" x14ac:dyDescent="0.35">
      <c r="S106" s="6"/>
      <c r="T106" s="6"/>
      <c r="AC106" s="5"/>
      <c r="AD106" s="8"/>
      <c r="AE106" s="5"/>
      <c r="AF106" s="5"/>
      <c r="AP106" s="17"/>
      <c r="AQ106" s="8"/>
      <c r="AR106" s="8"/>
      <c r="CA106" s="18"/>
    </row>
    <row r="107" spans="19:79" s="4" customFormat="1" x14ac:dyDescent="0.35">
      <c r="S107" s="6"/>
      <c r="T107" s="6"/>
      <c r="AC107" s="5"/>
      <c r="AD107" s="8"/>
      <c r="AE107" s="5"/>
      <c r="AF107" s="5"/>
      <c r="AP107" s="17"/>
      <c r="AQ107" s="8"/>
      <c r="AR107" s="8"/>
      <c r="CA107" s="18"/>
    </row>
    <row r="108" spans="19:79" s="4" customFormat="1" x14ac:dyDescent="0.35">
      <c r="S108" s="6"/>
      <c r="T108" s="6"/>
      <c r="AC108" s="5"/>
      <c r="AD108" s="8"/>
      <c r="AE108" s="5"/>
      <c r="AF108" s="5"/>
      <c r="AP108" s="17"/>
      <c r="AQ108" s="8"/>
      <c r="AR108" s="8"/>
      <c r="CA108" s="18"/>
    </row>
    <row r="109" spans="19:79" s="4" customFormat="1" x14ac:dyDescent="0.35">
      <c r="S109" s="6"/>
      <c r="T109" s="6"/>
      <c r="AC109" s="5"/>
      <c r="AD109" s="8"/>
      <c r="AE109" s="5"/>
      <c r="AF109" s="5"/>
      <c r="AP109" s="17"/>
      <c r="AQ109" s="8"/>
      <c r="AR109" s="8"/>
      <c r="CA109" s="18"/>
    </row>
    <row r="110" spans="19:79" s="4" customFormat="1" x14ac:dyDescent="0.35">
      <c r="S110" s="6"/>
      <c r="T110" s="6"/>
      <c r="AC110" s="5"/>
      <c r="AD110" s="8"/>
      <c r="AE110" s="5"/>
      <c r="AF110" s="5"/>
      <c r="AP110" s="17"/>
      <c r="AQ110" s="8"/>
      <c r="AR110" s="8"/>
      <c r="CA110" s="18"/>
    </row>
    <row r="111" spans="19:79" s="4" customFormat="1" x14ac:dyDescent="0.35">
      <c r="S111" s="6"/>
      <c r="T111" s="6"/>
      <c r="AC111" s="5"/>
      <c r="AD111" s="8"/>
      <c r="AE111" s="5"/>
      <c r="AF111" s="5"/>
      <c r="AP111" s="17"/>
      <c r="AQ111" s="8"/>
      <c r="AR111" s="8"/>
      <c r="CA111" s="18"/>
    </row>
    <row r="112" spans="19:79" s="4" customFormat="1" x14ac:dyDescent="0.35">
      <c r="S112" s="6"/>
      <c r="T112" s="6"/>
      <c r="AC112" s="5"/>
      <c r="AD112" s="8"/>
      <c r="AE112" s="5"/>
      <c r="AF112" s="5"/>
      <c r="AP112" s="17"/>
      <c r="AQ112" s="8"/>
      <c r="AR112" s="8"/>
      <c r="CA112" s="18"/>
    </row>
    <row r="113" spans="19:79" s="4" customFormat="1" x14ac:dyDescent="0.35">
      <c r="S113" s="6"/>
      <c r="T113" s="6"/>
      <c r="AC113" s="5"/>
      <c r="AD113" s="8"/>
      <c r="AE113" s="5"/>
      <c r="AF113" s="5"/>
      <c r="AP113" s="17"/>
      <c r="AQ113" s="8"/>
      <c r="AR113" s="8"/>
      <c r="CA113" s="18"/>
    </row>
    <row r="114" spans="19:79" s="4" customFormat="1" x14ac:dyDescent="0.35">
      <c r="S114" s="6"/>
      <c r="T114" s="6"/>
      <c r="AC114" s="5"/>
      <c r="AD114" s="8"/>
      <c r="AE114" s="5"/>
      <c r="AF114" s="5"/>
      <c r="AP114" s="17"/>
      <c r="AQ114" s="8"/>
      <c r="AR114" s="8"/>
      <c r="CA114" s="18"/>
    </row>
    <row r="115" spans="19:79" s="4" customFormat="1" x14ac:dyDescent="0.35">
      <c r="S115" s="6"/>
      <c r="T115" s="6"/>
      <c r="AC115" s="5"/>
      <c r="AD115" s="8"/>
      <c r="AE115" s="5"/>
      <c r="AF115" s="5"/>
      <c r="AP115" s="17"/>
      <c r="AQ115" s="8"/>
      <c r="AR115" s="8"/>
      <c r="CA115" s="18"/>
    </row>
    <row r="116" spans="19:79" s="4" customFormat="1" x14ac:dyDescent="0.35">
      <c r="S116" s="6"/>
      <c r="T116" s="6"/>
      <c r="AC116" s="5"/>
      <c r="AD116" s="8"/>
      <c r="AE116" s="5"/>
      <c r="AF116" s="5"/>
      <c r="AP116" s="17"/>
      <c r="AQ116" s="8"/>
      <c r="AR116" s="8"/>
      <c r="CA116" s="18"/>
    </row>
    <row r="117" spans="19:79" s="4" customFormat="1" x14ac:dyDescent="0.35">
      <c r="S117" s="6"/>
      <c r="T117" s="6"/>
      <c r="AC117" s="5"/>
      <c r="AD117" s="8"/>
      <c r="AE117" s="5"/>
      <c r="AF117" s="5"/>
      <c r="AP117" s="17"/>
      <c r="AQ117" s="8"/>
      <c r="AR117" s="8"/>
      <c r="CA117" s="18"/>
    </row>
    <row r="118" spans="19:79" s="4" customFormat="1" x14ac:dyDescent="0.35">
      <c r="S118" s="6"/>
      <c r="T118" s="6"/>
      <c r="AC118" s="5"/>
      <c r="AD118" s="8"/>
      <c r="AE118" s="5"/>
      <c r="AF118" s="5"/>
      <c r="AP118" s="17"/>
      <c r="AQ118" s="8"/>
      <c r="AR118" s="8"/>
      <c r="CA118" s="18"/>
    </row>
    <row r="119" spans="19:79" s="4" customFormat="1" x14ac:dyDescent="0.35">
      <c r="S119" s="6"/>
      <c r="T119" s="6"/>
      <c r="AC119" s="5"/>
      <c r="AD119" s="8"/>
      <c r="AE119" s="5"/>
      <c r="AF119" s="5"/>
      <c r="AP119" s="17"/>
      <c r="AQ119" s="8"/>
      <c r="AR119" s="8"/>
      <c r="CA119" s="18"/>
    </row>
    <row r="120" spans="19:79" s="4" customFormat="1" x14ac:dyDescent="0.35">
      <c r="S120" s="6"/>
      <c r="T120" s="6"/>
      <c r="AC120" s="5"/>
      <c r="AD120" s="8"/>
      <c r="AE120" s="5"/>
      <c r="AF120" s="5"/>
      <c r="AP120" s="17"/>
      <c r="AQ120" s="8"/>
      <c r="AR120" s="8"/>
      <c r="CA120" s="18"/>
    </row>
    <row r="121" spans="19:79" s="4" customFormat="1" x14ac:dyDescent="0.35">
      <c r="S121" s="6"/>
      <c r="T121" s="6"/>
      <c r="AC121" s="5"/>
      <c r="AD121" s="8"/>
      <c r="AE121" s="5"/>
      <c r="AF121" s="5"/>
      <c r="AP121" s="17"/>
      <c r="AQ121" s="8"/>
      <c r="AR121" s="8"/>
      <c r="CA121" s="18"/>
    </row>
    <row r="122" spans="19:79" s="4" customFormat="1" x14ac:dyDescent="0.35">
      <c r="S122" s="6"/>
      <c r="T122" s="6"/>
      <c r="AC122" s="5"/>
      <c r="AD122" s="8"/>
      <c r="AE122" s="5"/>
      <c r="AF122" s="5"/>
      <c r="AP122" s="17"/>
      <c r="AQ122" s="8"/>
      <c r="AR122" s="8"/>
      <c r="CA122" s="18"/>
    </row>
    <row r="123" spans="19:79" s="4" customFormat="1" x14ac:dyDescent="0.35">
      <c r="S123" s="6"/>
      <c r="T123" s="6"/>
      <c r="AC123" s="5"/>
      <c r="AD123" s="8"/>
      <c r="AE123" s="5"/>
      <c r="AF123" s="5"/>
      <c r="AP123" s="17"/>
      <c r="AQ123" s="8"/>
      <c r="AR123" s="8"/>
      <c r="CA123" s="18"/>
    </row>
    <row r="124" spans="19:79" s="4" customFormat="1" x14ac:dyDescent="0.35">
      <c r="S124" s="6"/>
      <c r="T124" s="6"/>
      <c r="AC124" s="5"/>
      <c r="AD124" s="8"/>
      <c r="AE124" s="5"/>
      <c r="AF124" s="5"/>
      <c r="AP124" s="17"/>
      <c r="AQ124" s="8"/>
      <c r="AR124" s="8"/>
      <c r="CA124" s="18"/>
    </row>
    <row r="125" spans="19:79" s="4" customFormat="1" x14ac:dyDescent="0.35">
      <c r="S125" s="6"/>
      <c r="T125" s="6"/>
      <c r="AC125" s="5"/>
      <c r="AD125" s="8"/>
      <c r="AE125" s="5"/>
      <c r="AF125" s="5"/>
      <c r="AP125" s="17"/>
      <c r="AQ125" s="8"/>
      <c r="AR125" s="8"/>
      <c r="CA125" s="18"/>
    </row>
    <row r="126" spans="19:79" s="4" customFormat="1" x14ac:dyDescent="0.35">
      <c r="S126" s="6"/>
      <c r="T126" s="6"/>
      <c r="AC126" s="5"/>
      <c r="AD126" s="8"/>
      <c r="AE126" s="5"/>
      <c r="AF126" s="5"/>
      <c r="AP126" s="17"/>
      <c r="AQ126" s="8"/>
      <c r="AR126" s="8"/>
      <c r="CA126" s="18"/>
    </row>
    <row r="127" spans="19:79" s="4" customFormat="1" x14ac:dyDescent="0.35">
      <c r="S127" s="6"/>
      <c r="T127" s="6"/>
      <c r="AC127" s="5"/>
      <c r="AD127" s="8"/>
      <c r="AE127" s="5"/>
      <c r="AF127" s="5"/>
      <c r="AP127" s="17"/>
      <c r="AQ127" s="8"/>
      <c r="AR127" s="8"/>
      <c r="CA127" s="18"/>
    </row>
    <row r="128" spans="19:79" s="4" customFormat="1" x14ac:dyDescent="0.35">
      <c r="S128" s="6"/>
      <c r="T128" s="6"/>
      <c r="AC128" s="5"/>
      <c r="AD128" s="8"/>
      <c r="AE128" s="5"/>
      <c r="AF128" s="5"/>
      <c r="AP128" s="17"/>
      <c r="AQ128" s="8"/>
      <c r="AR128" s="8"/>
      <c r="CA128" s="18"/>
    </row>
    <row r="129" spans="19:79" s="4" customFormat="1" x14ac:dyDescent="0.35">
      <c r="S129" s="6"/>
      <c r="T129" s="6"/>
      <c r="AC129" s="5"/>
      <c r="AD129" s="8"/>
      <c r="AE129" s="5"/>
      <c r="AF129" s="5"/>
      <c r="AP129" s="17"/>
      <c r="AQ129" s="8"/>
      <c r="AR129" s="8"/>
      <c r="CA129" s="18"/>
    </row>
    <row r="130" spans="19:79" s="4" customFormat="1" x14ac:dyDescent="0.35">
      <c r="S130" s="6"/>
      <c r="T130" s="6"/>
      <c r="AC130" s="5"/>
      <c r="AD130" s="8"/>
      <c r="AE130" s="5"/>
      <c r="AF130" s="5"/>
      <c r="AP130" s="17"/>
      <c r="AQ130" s="8"/>
      <c r="AR130" s="8"/>
      <c r="CA130" s="18"/>
    </row>
    <row r="131" spans="19:79" s="4" customFormat="1" x14ac:dyDescent="0.35">
      <c r="S131" s="6"/>
      <c r="T131" s="6"/>
      <c r="AC131" s="5"/>
      <c r="AD131" s="8"/>
      <c r="AE131" s="5"/>
      <c r="AF131" s="5"/>
      <c r="AP131" s="17"/>
      <c r="AQ131" s="8"/>
      <c r="AR131" s="8"/>
      <c r="CA131" s="18"/>
    </row>
    <row r="132" spans="19:79" s="4" customFormat="1" x14ac:dyDescent="0.35">
      <c r="S132" s="6"/>
      <c r="T132" s="6"/>
      <c r="AC132" s="5"/>
      <c r="AD132" s="8"/>
      <c r="AE132" s="5"/>
      <c r="AF132" s="5"/>
      <c r="AP132" s="17"/>
      <c r="AQ132" s="8"/>
      <c r="AR132" s="8"/>
      <c r="CA132" s="18"/>
    </row>
    <row r="133" spans="19:79" s="4" customFormat="1" x14ac:dyDescent="0.35">
      <c r="S133" s="6"/>
      <c r="T133" s="6"/>
      <c r="AC133" s="5"/>
      <c r="AD133" s="8"/>
      <c r="AE133" s="5"/>
      <c r="AF133" s="5"/>
      <c r="AP133" s="17"/>
      <c r="AQ133" s="8"/>
      <c r="AR133" s="8"/>
      <c r="CA133" s="18"/>
    </row>
    <row r="134" spans="19:79" s="4" customFormat="1" x14ac:dyDescent="0.35">
      <c r="S134" s="6"/>
      <c r="T134" s="6"/>
      <c r="AC134" s="5"/>
      <c r="AD134" s="8"/>
      <c r="AE134" s="5"/>
      <c r="AF134" s="5"/>
      <c r="AP134" s="17"/>
      <c r="AQ134" s="8"/>
      <c r="AR134" s="8"/>
      <c r="CA134" s="18"/>
    </row>
    <row r="135" spans="19:79" s="4" customFormat="1" x14ac:dyDescent="0.35">
      <c r="S135" s="6"/>
      <c r="T135" s="6"/>
      <c r="AC135" s="5"/>
      <c r="AD135" s="8"/>
      <c r="AE135" s="5"/>
      <c r="AF135" s="5"/>
      <c r="AP135" s="17"/>
      <c r="AQ135" s="8"/>
      <c r="AR135" s="8"/>
      <c r="CA135" s="18"/>
    </row>
    <row r="136" spans="19:79" s="4" customFormat="1" x14ac:dyDescent="0.35">
      <c r="S136" s="6"/>
      <c r="T136" s="6"/>
      <c r="AC136" s="5"/>
      <c r="AD136" s="8"/>
      <c r="AE136" s="5"/>
      <c r="AF136" s="5"/>
      <c r="AP136" s="17"/>
      <c r="AQ136" s="8"/>
      <c r="AR136" s="8"/>
      <c r="CA136" s="18"/>
    </row>
    <row r="137" spans="19:79" s="4" customFormat="1" x14ac:dyDescent="0.35">
      <c r="S137" s="6"/>
      <c r="T137" s="6"/>
      <c r="AC137" s="5"/>
      <c r="AD137" s="8"/>
      <c r="AE137" s="5"/>
      <c r="AF137" s="5"/>
      <c r="AP137" s="17"/>
      <c r="AQ137" s="8"/>
      <c r="AR137" s="8"/>
      <c r="CA137" s="18"/>
    </row>
    <row r="138" spans="19:79" s="4" customFormat="1" x14ac:dyDescent="0.35">
      <c r="S138" s="6"/>
      <c r="T138" s="6"/>
      <c r="AC138" s="5"/>
      <c r="AD138" s="8"/>
      <c r="AE138" s="5"/>
      <c r="AF138" s="5"/>
      <c r="AP138" s="17"/>
      <c r="AQ138" s="8"/>
      <c r="AR138" s="8"/>
      <c r="CA138" s="18"/>
    </row>
    <row r="139" spans="19:79" s="4" customFormat="1" x14ac:dyDescent="0.35">
      <c r="S139" s="6"/>
      <c r="T139" s="6"/>
      <c r="AC139" s="5"/>
      <c r="AD139" s="8"/>
      <c r="AE139" s="5"/>
      <c r="AF139" s="5"/>
      <c r="AP139" s="17"/>
      <c r="AQ139" s="8"/>
      <c r="AR139" s="8"/>
      <c r="CA139" s="18"/>
    </row>
    <row r="140" spans="19:79" s="4" customFormat="1" x14ac:dyDescent="0.35">
      <c r="S140" s="6"/>
      <c r="T140" s="6"/>
      <c r="AC140" s="5"/>
      <c r="AD140" s="8"/>
      <c r="AE140" s="5"/>
      <c r="AF140" s="5"/>
      <c r="AP140" s="17"/>
      <c r="AQ140" s="8"/>
      <c r="AR140" s="8"/>
      <c r="CA140" s="18"/>
    </row>
    <row r="141" spans="19:79" s="4" customFormat="1" x14ac:dyDescent="0.35">
      <c r="S141" s="6"/>
      <c r="T141" s="6"/>
      <c r="AC141" s="5"/>
      <c r="AD141" s="8"/>
      <c r="AE141" s="5"/>
      <c r="AF141" s="5"/>
      <c r="AP141" s="17"/>
      <c r="AQ141" s="8"/>
      <c r="AR141" s="8"/>
      <c r="CA141" s="18"/>
    </row>
    <row r="142" spans="19:79" s="4" customFormat="1" x14ac:dyDescent="0.35">
      <c r="S142" s="6"/>
      <c r="T142" s="6"/>
      <c r="AC142" s="5"/>
      <c r="AD142" s="8"/>
      <c r="AE142" s="5"/>
      <c r="AF142" s="5"/>
      <c r="AP142" s="17"/>
      <c r="AQ142" s="8"/>
      <c r="AR142" s="8"/>
      <c r="CA142" s="18"/>
    </row>
    <row r="143" spans="19:79" s="4" customFormat="1" x14ac:dyDescent="0.35">
      <c r="S143" s="6"/>
      <c r="T143" s="6"/>
      <c r="AC143" s="5"/>
      <c r="AD143" s="8"/>
      <c r="AE143" s="5"/>
      <c r="AF143" s="5"/>
      <c r="AP143" s="17"/>
      <c r="AQ143" s="8"/>
      <c r="AR143" s="8"/>
      <c r="CA143" s="18"/>
    </row>
    <row r="144" spans="19:79" s="4" customFormat="1" x14ac:dyDescent="0.35">
      <c r="S144" s="6"/>
      <c r="T144" s="6"/>
      <c r="AC144" s="5"/>
      <c r="AD144" s="8"/>
      <c r="AE144" s="5"/>
      <c r="AF144" s="5"/>
      <c r="AP144" s="17"/>
      <c r="AQ144" s="8"/>
      <c r="AR144" s="8"/>
      <c r="CA144" s="18"/>
    </row>
    <row r="145" spans="19:79" s="4" customFormat="1" x14ac:dyDescent="0.35">
      <c r="S145" s="6"/>
      <c r="T145" s="6"/>
      <c r="AC145" s="5"/>
      <c r="AD145" s="8"/>
      <c r="AE145" s="5"/>
      <c r="AF145" s="5"/>
      <c r="AP145" s="17"/>
      <c r="AQ145" s="8"/>
      <c r="AR145" s="8"/>
      <c r="CA145" s="18"/>
    </row>
    <row r="146" spans="19:79" s="4" customFormat="1" x14ac:dyDescent="0.35">
      <c r="S146" s="6"/>
      <c r="T146" s="6"/>
      <c r="AC146" s="5"/>
      <c r="AD146" s="8"/>
      <c r="AE146" s="5"/>
      <c r="AF146" s="5"/>
      <c r="AP146" s="17"/>
      <c r="AQ146" s="8"/>
      <c r="AR146" s="8"/>
      <c r="CA146" s="18"/>
    </row>
    <row r="147" spans="19:79" s="4" customFormat="1" x14ac:dyDescent="0.35">
      <c r="S147" s="6"/>
      <c r="T147" s="6"/>
      <c r="AC147" s="5"/>
      <c r="AD147" s="8"/>
      <c r="AE147" s="5"/>
      <c r="AF147" s="5"/>
      <c r="AP147" s="17"/>
      <c r="AQ147" s="8"/>
      <c r="AR147" s="8"/>
      <c r="CA147" s="18"/>
    </row>
    <row r="148" spans="19:79" s="4" customFormat="1" x14ac:dyDescent="0.35">
      <c r="S148" s="6"/>
      <c r="T148" s="6"/>
      <c r="AC148" s="5"/>
      <c r="AD148" s="8"/>
      <c r="AE148" s="5"/>
      <c r="AF148" s="5"/>
      <c r="AP148" s="17"/>
      <c r="AQ148" s="8"/>
      <c r="AR148" s="8"/>
      <c r="CA148" s="18"/>
    </row>
    <row r="149" spans="19:79" s="4" customFormat="1" x14ac:dyDescent="0.35">
      <c r="S149" s="6"/>
      <c r="T149" s="6"/>
      <c r="AC149" s="5"/>
      <c r="AD149" s="8"/>
      <c r="AE149" s="5"/>
      <c r="AF149" s="5"/>
      <c r="AP149" s="17"/>
      <c r="AQ149" s="8"/>
      <c r="AR149" s="8"/>
      <c r="CA149" s="18"/>
    </row>
    <row r="150" spans="19:79" s="4" customFormat="1" x14ac:dyDescent="0.35">
      <c r="S150" s="6"/>
      <c r="T150" s="6"/>
      <c r="AC150" s="5"/>
      <c r="AD150" s="8"/>
      <c r="AE150" s="5"/>
      <c r="AF150" s="5"/>
      <c r="AP150" s="17"/>
      <c r="AQ150" s="8"/>
      <c r="AR150" s="8"/>
      <c r="CA150" s="18"/>
    </row>
    <row r="151" spans="19:79" s="4" customFormat="1" x14ac:dyDescent="0.35">
      <c r="S151" s="6"/>
      <c r="T151" s="6"/>
      <c r="AC151" s="5"/>
      <c r="AD151" s="8"/>
      <c r="AE151" s="5"/>
      <c r="AF151" s="5"/>
      <c r="AP151" s="17"/>
      <c r="AQ151" s="8"/>
      <c r="AR151" s="8"/>
      <c r="CA151" s="18"/>
    </row>
    <row r="152" spans="19:79" s="4" customFormat="1" x14ac:dyDescent="0.35">
      <c r="S152" s="6"/>
      <c r="T152" s="6"/>
      <c r="AC152" s="5"/>
      <c r="AD152" s="8"/>
      <c r="AE152" s="5"/>
      <c r="AF152" s="5"/>
      <c r="AP152" s="17"/>
      <c r="AQ152" s="8"/>
      <c r="AR152" s="8"/>
      <c r="CA152" s="18"/>
    </row>
    <row r="153" spans="19:79" s="4" customFormat="1" x14ac:dyDescent="0.35">
      <c r="S153" s="6"/>
      <c r="T153" s="6"/>
      <c r="AC153" s="5"/>
      <c r="AD153" s="8"/>
      <c r="AE153" s="5"/>
      <c r="AF153" s="5"/>
      <c r="AP153" s="17"/>
      <c r="AQ153" s="8"/>
      <c r="AR153" s="8"/>
      <c r="CA153" s="18"/>
    </row>
    <row r="154" spans="19:79" s="4" customFormat="1" x14ac:dyDescent="0.35">
      <c r="S154" s="6"/>
      <c r="T154" s="6"/>
      <c r="AC154" s="5"/>
      <c r="AD154" s="8"/>
      <c r="AE154" s="5"/>
      <c r="AF154" s="5"/>
      <c r="AP154" s="17"/>
      <c r="AQ154" s="8"/>
      <c r="AR154" s="8"/>
      <c r="CA154" s="18"/>
    </row>
    <row r="155" spans="19:79" s="4" customFormat="1" x14ac:dyDescent="0.35">
      <c r="S155" s="6"/>
      <c r="T155" s="6"/>
      <c r="AC155" s="5"/>
      <c r="AD155" s="8"/>
      <c r="AE155" s="5"/>
      <c r="AF155" s="5"/>
      <c r="AP155" s="17"/>
      <c r="AQ155" s="8"/>
      <c r="AR155" s="8"/>
      <c r="CA155" s="18"/>
    </row>
    <row r="156" spans="19:79" s="4" customFormat="1" x14ac:dyDescent="0.35">
      <c r="S156" s="6"/>
      <c r="T156" s="6"/>
      <c r="AC156" s="5"/>
      <c r="AD156" s="8"/>
      <c r="AE156" s="5"/>
      <c r="AF156" s="5"/>
      <c r="AP156" s="17"/>
      <c r="AQ156" s="8"/>
      <c r="AR156" s="8"/>
      <c r="CA156" s="18"/>
    </row>
    <row r="157" spans="19:79" s="4" customFormat="1" x14ac:dyDescent="0.35">
      <c r="S157" s="6"/>
      <c r="T157" s="6"/>
      <c r="AC157" s="5"/>
      <c r="AD157" s="8"/>
      <c r="AE157" s="5"/>
      <c r="AF157" s="5"/>
      <c r="AP157" s="17"/>
      <c r="AQ157" s="8"/>
      <c r="AR157" s="8"/>
      <c r="CA157" s="18"/>
    </row>
    <row r="158" spans="19:79" s="4" customFormat="1" x14ac:dyDescent="0.35">
      <c r="S158" s="6"/>
      <c r="T158" s="6"/>
      <c r="AC158" s="5"/>
      <c r="AD158" s="8"/>
      <c r="AE158" s="5"/>
      <c r="AF158" s="5"/>
      <c r="AP158" s="17"/>
      <c r="AQ158" s="8"/>
      <c r="AR158" s="8"/>
      <c r="CA158" s="18"/>
    </row>
    <row r="159" spans="19:79" s="4" customFormat="1" x14ac:dyDescent="0.35">
      <c r="S159" s="6"/>
      <c r="T159" s="6"/>
      <c r="AC159" s="5"/>
      <c r="AD159" s="8"/>
      <c r="AE159" s="5"/>
      <c r="AF159" s="5"/>
      <c r="AP159" s="17"/>
      <c r="AQ159" s="8"/>
      <c r="AR159" s="8"/>
      <c r="CA159" s="18"/>
    </row>
    <row r="160" spans="19:79" s="4" customFormat="1" x14ac:dyDescent="0.35">
      <c r="S160" s="6"/>
      <c r="T160" s="6"/>
      <c r="AC160" s="5"/>
      <c r="AD160" s="8"/>
      <c r="AE160" s="5"/>
      <c r="AF160" s="5"/>
      <c r="AP160" s="17"/>
      <c r="AQ160" s="8"/>
      <c r="AR160" s="8"/>
      <c r="CA160" s="18"/>
    </row>
    <row r="161" spans="19:79" s="4" customFormat="1" x14ac:dyDescent="0.35">
      <c r="S161" s="6"/>
      <c r="T161" s="6"/>
      <c r="AC161" s="5"/>
      <c r="AD161" s="8"/>
      <c r="AE161" s="5"/>
      <c r="AF161" s="5"/>
      <c r="AP161" s="17"/>
      <c r="AQ161" s="8"/>
      <c r="AR161" s="8"/>
      <c r="CA161" s="18"/>
    </row>
    <row r="162" spans="19:79" s="4" customFormat="1" x14ac:dyDescent="0.35">
      <c r="S162" s="6"/>
      <c r="T162" s="6"/>
      <c r="AC162" s="5"/>
      <c r="AD162" s="8"/>
      <c r="AE162" s="5"/>
      <c r="AF162" s="5"/>
      <c r="AP162" s="17"/>
      <c r="AQ162" s="8"/>
      <c r="AR162" s="8"/>
      <c r="CA162" s="18"/>
    </row>
    <row r="163" spans="19:79" s="4" customFormat="1" x14ac:dyDescent="0.35">
      <c r="S163" s="6"/>
      <c r="T163" s="6"/>
      <c r="AC163" s="5"/>
      <c r="AD163" s="8"/>
      <c r="AE163" s="5"/>
      <c r="AF163" s="5"/>
      <c r="AP163" s="17"/>
      <c r="AQ163" s="8"/>
      <c r="AR163" s="8"/>
      <c r="CA163" s="18"/>
    </row>
    <row r="164" spans="19:79" s="4" customFormat="1" x14ac:dyDescent="0.35">
      <c r="S164" s="6"/>
      <c r="T164" s="6"/>
      <c r="AC164" s="5"/>
      <c r="AD164" s="8"/>
      <c r="AE164" s="5"/>
      <c r="AF164" s="5"/>
      <c r="AP164" s="17"/>
      <c r="AQ164" s="8"/>
      <c r="AR164" s="8"/>
      <c r="CA164" s="18"/>
    </row>
    <row r="165" spans="19:79" s="4" customFormat="1" x14ac:dyDescent="0.35">
      <c r="S165" s="6"/>
      <c r="T165" s="6"/>
      <c r="AC165" s="5"/>
      <c r="AD165" s="8"/>
      <c r="AE165" s="5"/>
      <c r="AF165" s="5"/>
      <c r="AP165" s="17"/>
      <c r="AQ165" s="8"/>
      <c r="AR165" s="8"/>
      <c r="CA165" s="18"/>
    </row>
    <row r="166" spans="19:79" s="4" customFormat="1" x14ac:dyDescent="0.35">
      <c r="S166" s="6"/>
      <c r="T166" s="6"/>
      <c r="AC166" s="5"/>
      <c r="AD166" s="8"/>
      <c r="AE166" s="5"/>
      <c r="AF166" s="5"/>
      <c r="AP166" s="17"/>
      <c r="AQ166" s="8"/>
      <c r="AR166" s="8"/>
      <c r="CA166" s="18"/>
    </row>
    <row r="167" spans="19:79" s="4" customFormat="1" x14ac:dyDescent="0.35">
      <c r="S167" s="6"/>
      <c r="T167" s="6"/>
      <c r="AC167" s="5"/>
      <c r="AD167" s="8"/>
      <c r="AE167" s="5"/>
      <c r="AF167" s="5"/>
      <c r="AP167" s="17"/>
      <c r="AQ167" s="8"/>
      <c r="AR167" s="8"/>
      <c r="CA167" s="18"/>
    </row>
    <row r="168" spans="19:79" s="4" customFormat="1" x14ac:dyDescent="0.35">
      <c r="S168" s="6"/>
      <c r="T168" s="6"/>
      <c r="AC168" s="5"/>
      <c r="AD168" s="8"/>
      <c r="AE168" s="5"/>
      <c r="AF168" s="5"/>
      <c r="AP168" s="17"/>
      <c r="AQ168" s="8"/>
      <c r="AR168" s="8"/>
      <c r="CA168" s="18"/>
    </row>
    <row r="169" spans="19:79" s="4" customFormat="1" x14ac:dyDescent="0.35">
      <c r="S169" s="6"/>
      <c r="T169" s="6"/>
      <c r="AC169" s="5"/>
      <c r="AD169" s="8"/>
      <c r="AE169" s="5"/>
      <c r="AF169" s="5"/>
      <c r="AP169" s="17"/>
      <c r="AQ169" s="8"/>
      <c r="AR169" s="8"/>
      <c r="CA169" s="18"/>
    </row>
    <row r="170" spans="19:79" s="4" customFormat="1" x14ac:dyDescent="0.35">
      <c r="S170" s="6"/>
      <c r="T170" s="6"/>
      <c r="AC170" s="5"/>
      <c r="AD170" s="8"/>
      <c r="AE170" s="5"/>
      <c r="AF170" s="5"/>
      <c r="AP170" s="17"/>
      <c r="AQ170" s="8"/>
      <c r="AR170" s="8"/>
      <c r="CA170" s="18"/>
    </row>
    <row r="171" spans="19:79" s="4" customFormat="1" x14ac:dyDescent="0.35">
      <c r="S171" s="6"/>
      <c r="T171" s="6"/>
      <c r="AC171" s="5"/>
      <c r="AD171" s="8"/>
      <c r="AE171" s="5"/>
      <c r="AF171" s="5"/>
      <c r="AP171" s="17"/>
      <c r="AQ171" s="8"/>
      <c r="AR171" s="8"/>
      <c r="CA171" s="18"/>
    </row>
    <row r="172" spans="19:79" s="4" customFormat="1" x14ac:dyDescent="0.35">
      <c r="S172" s="6"/>
      <c r="T172" s="6"/>
      <c r="AC172" s="5"/>
      <c r="AD172" s="8"/>
      <c r="AE172" s="5"/>
      <c r="AF172" s="5"/>
      <c r="AP172" s="17"/>
      <c r="AQ172" s="8"/>
      <c r="AR172" s="8"/>
      <c r="CA172" s="18"/>
    </row>
    <row r="173" spans="19:79" s="4" customFormat="1" x14ac:dyDescent="0.35">
      <c r="S173" s="6"/>
      <c r="T173" s="6"/>
      <c r="AC173" s="5"/>
      <c r="AD173" s="8"/>
      <c r="AE173" s="5"/>
      <c r="AF173" s="5"/>
      <c r="AP173" s="17"/>
      <c r="AQ173" s="8"/>
      <c r="AR173" s="8"/>
      <c r="CA173" s="18"/>
    </row>
    <row r="174" spans="19:79" s="4" customFormat="1" x14ac:dyDescent="0.35">
      <c r="S174" s="6"/>
      <c r="T174" s="6"/>
      <c r="AC174" s="5"/>
      <c r="AD174" s="8"/>
      <c r="AE174" s="5"/>
      <c r="AF174" s="5"/>
      <c r="AP174" s="17"/>
      <c r="AQ174" s="8"/>
      <c r="AR174" s="8"/>
      <c r="CA174" s="18"/>
    </row>
    <row r="175" spans="19:79" s="4" customFormat="1" x14ac:dyDescent="0.35">
      <c r="S175" s="6"/>
      <c r="T175" s="6"/>
      <c r="AC175" s="5"/>
      <c r="AD175" s="8"/>
      <c r="AE175" s="5"/>
      <c r="AF175" s="5"/>
      <c r="AP175" s="17"/>
      <c r="AQ175" s="8"/>
      <c r="AR175" s="8"/>
      <c r="CA175" s="18"/>
    </row>
    <row r="176" spans="19:79" s="4" customFormat="1" x14ac:dyDescent="0.35">
      <c r="S176" s="6"/>
      <c r="T176" s="6"/>
      <c r="AC176" s="5"/>
      <c r="AD176" s="8"/>
      <c r="AE176" s="5"/>
      <c r="AF176" s="5"/>
      <c r="AP176" s="17"/>
      <c r="AQ176" s="8"/>
      <c r="AR176" s="8"/>
      <c r="CA176" s="18"/>
    </row>
    <row r="177" spans="19:79" s="4" customFormat="1" x14ac:dyDescent="0.35">
      <c r="S177" s="6"/>
      <c r="T177" s="6"/>
      <c r="AC177" s="5"/>
      <c r="AD177" s="8"/>
      <c r="AE177" s="5"/>
      <c r="AF177" s="5"/>
      <c r="AP177" s="17"/>
      <c r="AQ177" s="8"/>
      <c r="AR177" s="8"/>
      <c r="CA177" s="18"/>
    </row>
    <row r="178" spans="19:79" s="4" customFormat="1" x14ac:dyDescent="0.35">
      <c r="S178" s="6"/>
      <c r="T178" s="6"/>
      <c r="AC178" s="5"/>
      <c r="AD178" s="8"/>
      <c r="AE178" s="5"/>
      <c r="AF178" s="5"/>
      <c r="AP178" s="17"/>
      <c r="AQ178" s="8"/>
      <c r="AR178" s="8"/>
      <c r="CA178" s="18"/>
    </row>
    <row r="179" spans="19:79" s="4" customFormat="1" x14ac:dyDescent="0.35">
      <c r="S179" s="6"/>
      <c r="T179" s="6"/>
      <c r="AC179" s="5"/>
      <c r="AD179" s="8"/>
      <c r="AE179" s="5"/>
      <c r="AF179" s="5"/>
      <c r="AP179" s="17"/>
      <c r="AQ179" s="8"/>
      <c r="AR179" s="8"/>
      <c r="CA179" s="18"/>
    </row>
    <row r="180" spans="19:79" s="4" customFormat="1" x14ac:dyDescent="0.35">
      <c r="S180" s="6"/>
      <c r="T180" s="6"/>
      <c r="AC180" s="5"/>
      <c r="AD180" s="8"/>
      <c r="AE180" s="5"/>
      <c r="AF180" s="5"/>
      <c r="AP180" s="17"/>
      <c r="AQ180" s="8"/>
      <c r="AR180" s="8"/>
      <c r="CA180" s="18"/>
    </row>
    <row r="181" spans="19:79" s="4" customFormat="1" x14ac:dyDescent="0.35">
      <c r="S181" s="6"/>
      <c r="T181" s="6"/>
      <c r="AC181" s="5"/>
      <c r="AD181" s="8"/>
      <c r="AE181" s="5"/>
      <c r="AF181" s="5"/>
      <c r="AP181" s="17"/>
      <c r="AQ181" s="8"/>
      <c r="AR181" s="8"/>
      <c r="CA181" s="18"/>
    </row>
    <row r="182" spans="19:79" s="4" customFormat="1" x14ac:dyDescent="0.35">
      <c r="S182" s="6"/>
      <c r="T182" s="6"/>
      <c r="AC182" s="5"/>
      <c r="AD182" s="8"/>
      <c r="AE182" s="5"/>
      <c r="AF182" s="5"/>
      <c r="AP182" s="17"/>
      <c r="AQ182" s="8"/>
      <c r="AR182" s="8"/>
      <c r="CA182" s="18"/>
    </row>
    <row r="183" spans="19:79" s="4" customFormat="1" x14ac:dyDescent="0.35">
      <c r="S183" s="6"/>
      <c r="T183" s="6"/>
      <c r="AC183" s="5"/>
      <c r="AD183" s="8"/>
      <c r="AE183" s="5"/>
      <c r="AF183" s="5"/>
      <c r="AP183" s="17"/>
      <c r="AQ183" s="8"/>
      <c r="AR183" s="8"/>
      <c r="CA183" s="18"/>
    </row>
    <row r="184" spans="19:79" s="4" customFormat="1" x14ac:dyDescent="0.35">
      <c r="S184" s="6"/>
      <c r="T184" s="6"/>
      <c r="AC184" s="5"/>
      <c r="AD184" s="8"/>
      <c r="AE184" s="5"/>
      <c r="AF184" s="5"/>
      <c r="AP184" s="17"/>
      <c r="AQ184" s="8"/>
      <c r="AR184" s="8"/>
      <c r="CA184" s="18"/>
    </row>
    <row r="185" spans="19:79" s="4" customFormat="1" x14ac:dyDescent="0.35">
      <c r="S185" s="6"/>
      <c r="T185" s="6"/>
      <c r="AC185" s="5"/>
      <c r="AD185" s="8"/>
      <c r="AE185" s="5"/>
      <c r="AF185" s="5"/>
      <c r="AP185" s="17"/>
      <c r="AQ185" s="8"/>
      <c r="AR185" s="8"/>
      <c r="CA185" s="18"/>
    </row>
    <row r="186" spans="19:79" s="4" customFormat="1" x14ac:dyDescent="0.35">
      <c r="S186" s="6"/>
      <c r="T186" s="6"/>
      <c r="AC186" s="5"/>
      <c r="AD186" s="8"/>
      <c r="AE186" s="5"/>
      <c r="AF186" s="5"/>
      <c r="AP186" s="17"/>
      <c r="AQ186" s="8"/>
      <c r="AR186" s="8"/>
      <c r="CA186" s="18"/>
    </row>
    <row r="187" spans="19:79" s="4" customFormat="1" x14ac:dyDescent="0.35">
      <c r="S187" s="6"/>
      <c r="T187" s="6"/>
      <c r="AC187" s="5"/>
      <c r="AD187" s="8"/>
      <c r="AE187" s="5"/>
      <c r="AF187" s="5"/>
      <c r="AP187" s="17"/>
      <c r="AQ187" s="8"/>
      <c r="AR187" s="8"/>
      <c r="CA187" s="18"/>
    </row>
    <row r="188" spans="19:79" s="4" customFormat="1" x14ac:dyDescent="0.35">
      <c r="S188" s="6"/>
      <c r="T188" s="6"/>
      <c r="AC188" s="5"/>
      <c r="AD188" s="8"/>
      <c r="AE188" s="5"/>
      <c r="AF188" s="5"/>
      <c r="AP188" s="17"/>
      <c r="AQ188" s="8"/>
      <c r="AR188" s="8"/>
      <c r="CA188" s="18"/>
    </row>
    <row r="189" spans="19:79" s="4" customFormat="1" x14ac:dyDescent="0.35">
      <c r="S189" s="6"/>
      <c r="T189" s="6"/>
      <c r="AC189" s="5"/>
      <c r="AD189" s="8"/>
      <c r="AE189" s="5"/>
      <c r="AF189" s="5"/>
      <c r="AP189" s="17"/>
      <c r="AQ189" s="8"/>
      <c r="AR189" s="8"/>
      <c r="CA189" s="18"/>
    </row>
    <row r="190" spans="19:79" s="4" customFormat="1" x14ac:dyDescent="0.35">
      <c r="S190" s="6"/>
      <c r="T190" s="6"/>
      <c r="AC190" s="5"/>
      <c r="AD190" s="8"/>
      <c r="AE190" s="5"/>
      <c r="AF190" s="5"/>
      <c r="AP190" s="17"/>
      <c r="AQ190" s="8"/>
      <c r="AR190" s="8"/>
      <c r="CA190" s="18"/>
    </row>
    <row r="191" spans="19:79" s="4" customFormat="1" x14ac:dyDescent="0.35">
      <c r="S191" s="6"/>
      <c r="T191" s="6"/>
      <c r="AC191" s="5"/>
      <c r="AD191" s="8"/>
      <c r="AE191" s="5"/>
      <c r="AF191" s="5"/>
      <c r="AP191" s="17"/>
      <c r="AQ191" s="8"/>
      <c r="AR191" s="8"/>
      <c r="CA191" s="18"/>
    </row>
    <row r="192" spans="19:79" s="4" customFormat="1" x14ac:dyDescent="0.35">
      <c r="S192" s="6"/>
      <c r="T192" s="6"/>
      <c r="AC192" s="5"/>
      <c r="AD192" s="8"/>
      <c r="AE192" s="5"/>
      <c r="AF192" s="5"/>
      <c r="AP192" s="17"/>
      <c r="AQ192" s="8"/>
      <c r="AR192" s="8"/>
      <c r="CA192" s="18"/>
    </row>
    <row r="193" spans="19:79" s="4" customFormat="1" x14ac:dyDescent="0.35">
      <c r="S193" s="6"/>
      <c r="T193" s="6"/>
      <c r="AC193" s="5"/>
      <c r="AD193" s="8"/>
      <c r="AE193" s="5"/>
      <c r="AF193" s="5"/>
      <c r="AP193" s="17"/>
      <c r="AQ193" s="8"/>
      <c r="AR193" s="8"/>
      <c r="CA193" s="18"/>
    </row>
    <row r="194" spans="19:79" s="4" customFormat="1" x14ac:dyDescent="0.35">
      <c r="S194" s="6"/>
      <c r="T194" s="6"/>
      <c r="AC194" s="5"/>
      <c r="AD194" s="8"/>
      <c r="AE194" s="5"/>
      <c r="AF194" s="5"/>
      <c r="AP194" s="17"/>
      <c r="AQ194" s="8"/>
      <c r="AR194" s="8"/>
      <c r="CA194" s="18"/>
    </row>
    <row r="195" spans="19:79" s="4" customFormat="1" x14ac:dyDescent="0.35">
      <c r="S195" s="6"/>
      <c r="T195" s="6"/>
      <c r="AC195" s="5"/>
      <c r="AD195" s="8"/>
      <c r="AE195" s="5"/>
      <c r="AF195" s="5"/>
      <c r="AP195" s="17"/>
      <c r="AQ195" s="8"/>
      <c r="AR195" s="8"/>
      <c r="CA195" s="18"/>
    </row>
    <row r="196" spans="19:79" s="4" customFormat="1" x14ac:dyDescent="0.35">
      <c r="S196" s="6"/>
      <c r="T196" s="6"/>
      <c r="AC196" s="5"/>
      <c r="AD196" s="8"/>
      <c r="AE196" s="5"/>
      <c r="AF196" s="5"/>
      <c r="AP196" s="17"/>
      <c r="AQ196" s="8"/>
      <c r="AR196" s="8"/>
      <c r="CA196" s="18"/>
    </row>
    <row r="197" spans="19:79" s="4" customFormat="1" x14ac:dyDescent="0.35">
      <c r="S197" s="6"/>
      <c r="T197" s="6"/>
      <c r="AC197" s="5"/>
      <c r="AD197" s="8"/>
      <c r="AE197" s="5"/>
      <c r="AF197" s="5"/>
      <c r="AP197" s="17"/>
      <c r="AQ197" s="8"/>
      <c r="AR197" s="8"/>
      <c r="CA197" s="18"/>
    </row>
    <row r="198" spans="19:79" s="4" customFormat="1" x14ac:dyDescent="0.35">
      <c r="S198" s="6"/>
      <c r="T198" s="6"/>
      <c r="AC198" s="5"/>
      <c r="AD198" s="8"/>
      <c r="AE198" s="5"/>
      <c r="AF198" s="5"/>
      <c r="AP198" s="17"/>
      <c r="AQ198" s="8"/>
      <c r="AR198" s="8"/>
      <c r="CA198" s="18"/>
    </row>
    <row r="199" spans="19:79" s="4" customFormat="1" x14ac:dyDescent="0.35">
      <c r="S199" s="6"/>
      <c r="T199" s="6"/>
      <c r="AC199" s="5"/>
      <c r="AD199" s="8"/>
      <c r="AE199" s="5"/>
      <c r="AF199" s="5"/>
      <c r="AP199" s="17"/>
      <c r="AQ199" s="8"/>
      <c r="AR199" s="8"/>
      <c r="CA199" s="18"/>
    </row>
    <row r="200" spans="19:79" s="4" customFormat="1" x14ac:dyDescent="0.35">
      <c r="S200" s="6"/>
      <c r="T200" s="6"/>
      <c r="AC200" s="5"/>
      <c r="AD200" s="8"/>
      <c r="AE200" s="5"/>
      <c r="AF200" s="5"/>
      <c r="AP200" s="17"/>
      <c r="AQ200" s="8"/>
      <c r="AR200" s="8"/>
      <c r="CA200" s="18"/>
    </row>
    <row r="201" spans="19:79" s="4" customFormat="1" x14ac:dyDescent="0.35">
      <c r="S201" s="6"/>
      <c r="T201" s="6"/>
      <c r="AC201" s="5"/>
      <c r="AD201" s="8"/>
      <c r="AE201" s="5"/>
      <c r="AF201" s="5"/>
      <c r="AP201" s="17"/>
      <c r="AQ201" s="8"/>
      <c r="AR201" s="8"/>
      <c r="CA201" s="18"/>
    </row>
    <row r="202" spans="19:79" s="4" customFormat="1" x14ac:dyDescent="0.35">
      <c r="S202" s="6"/>
      <c r="T202" s="6"/>
      <c r="AC202" s="5"/>
      <c r="AD202" s="8"/>
      <c r="AE202" s="5"/>
      <c r="AF202" s="5"/>
      <c r="AP202" s="17"/>
      <c r="AQ202" s="8"/>
      <c r="AR202" s="8"/>
      <c r="CA202" s="18"/>
    </row>
    <row r="203" spans="19:79" s="4" customFormat="1" x14ac:dyDescent="0.35">
      <c r="S203" s="6"/>
      <c r="T203" s="6"/>
      <c r="AC203" s="5"/>
      <c r="AD203" s="8"/>
      <c r="AE203" s="5"/>
      <c r="AF203" s="5"/>
      <c r="AP203" s="17"/>
      <c r="AQ203" s="8"/>
      <c r="AR203" s="8"/>
      <c r="CA203" s="18"/>
    </row>
    <row r="204" spans="19:79" s="4" customFormat="1" x14ac:dyDescent="0.35">
      <c r="S204" s="6"/>
      <c r="T204" s="6"/>
      <c r="AC204" s="5"/>
      <c r="AD204" s="8"/>
      <c r="AE204" s="5"/>
      <c r="AF204" s="5"/>
      <c r="AP204" s="17"/>
      <c r="AQ204" s="8"/>
      <c r="AR204" s="8"/>
      <c r="CA204" s="18"/>
    </row>
    <row r="205" spans="19:79" s="4" customFormat="1" x14ac:dyDescent="0.35">
      <c r="S205" s="6"/>
      <c r="T205" s="6"/>
      <c r="AC205" s="5"/>
      <c r="AD205" s="8"/>
      <c r="AE205" s="5"/>
      <c r="AF205" s="5"/>
      <c r="AP205" s="17"/>
      <c r="AQ205" s="8"/>
      <c r="AR205" s="8"/>
      <c r="CA205" s="18"/>
    </row>
    <row r="206" spans="19:79" s="4" customFormat="1" x14ac:dyDescent="0.35">
      <c r="S206" s="6"/>
      <c r="T206" s="6"/>
      <c r="AC206" s="5"/>
      <c r="AD206" s="8"/>
      <c r="AE206" s="5"/>
      <c r="AF206" s="5"/>
      <c r="AP206" s="17"/>
      <c r="AQ206" s="8"/>
      <c r="AR206" s="8"/>
      <c r="CA206" s="18"/>
    </row>
    <row r="207" spans="19:79" s="4" customFormat="1" x14ac:dyDescent="0.35">
      <c r="S207" s="6"/>
      <c r="T207" s="6"/>
      <c r="AC207" s="5"/>
      <c r="AD207" s="8"/>
      <c r="AE207" s="5"/>
      <c r="AF207" s="5"/>
      <c r="AP207" s="17"/>
      <c r="AQ207" s="8"/>
      <c r="AR207" s="8"/>
      <c r="CA207" s="18"/>
    </row>
    <row r="208" spans="19:79" s="4" customFormat="1" x14ac:dyDescent="0.35">
      <c r="S208" s="6"/>
      <c r="T208" s="6"/>
      <c r="AC208" s="5"/>
      <c r="AD208" s="8"/>
      <c r="AE208" s="5"/>
      <c r="AF208" s="5"/>
      <c r="AP208" s="17"/>
      <c r="AQ208" s="8"/>
      <c r="AR208" s="8"/>
      <c r="CA208" s="18"/>
    </row>
    <row r="209" spans="19:79" s="4" customFormat="1" x14ac:dyDescent="0.35">
      <c r="S209" s="6"/>
      <c r="T209" s="6"/>
      <c r="AC209" s="5"/>
      <c r="AD209" s="8"/>
      <c r="AE209" s="5"/>
      <c r="AF209" s="5"/>
      <c r="AP209" s="17"/>
      <c r="AQ209" s="8"/>
      <c r="AR209" s="8"/>
      <c r="CA209" s="18"/>
    </row>
    <row r="210" spans="19:79" s="4" customFormat="1" x14ac:dyDescent="0.35">
      <c r="S210" s="6"/>
      <c r="T210" s="6"/>
      <c r="AC210" s="5"/>
      <c r="AD210" s="8"/>
      <c r="AE210" s="5"/>
      <c r="AF210" s="5"/>
      <c r="AP210" s="17"/>
      <c r="AQ210" s="8"/>
      <c r="AR210" s="8"/>
      <c r="CA210" s="18"/>
    </row>
    <row r="211" spans="19:79" s="4" customFormat="1" x14ac:dyDescent="0.35">
      <c r="S211" s="6"/>
      <c r="T211" s="6"/>
      <c r="AC211" s="5"/>
      <c r="AD211" s="8"/>
      <c r="AE211" s="5"/>
      <c r="AF211" s="5"/>
      <c r="AP211" s="17"/>
      <c r="AQ211" s="8"/>
      <c r="AR211" s="8"/>
      <c r="CA211" s="18"/>
    </row>
    <row r="212" spans="19:79" s="4" customFormat="1" x14ac:dyDescent="0.35">
      <c r="S212" s="6"/>
      <c r="T212" s="6"/>
      <c r="AC212" s="5"/>
      <c r="AD212" s="8"/>
      <c r="AE212" s="5"/>
      <c r="AF212" s="5"/>
      <c r="AP212" s="17"/>
      <c r="AQ212" s="8"/>
      <c r="AR212" s="8"/>
      <c r="CA212" s="18"/>
    </row>
    <row r="213" spans="19:79" s="4" customFormat="1" x14ac:dyDescent="0.35">
      <c r="S213" s="6"/>
      <c r="T213" s="6"/>
      <c r="AC213" s="5"/>
      <c r="AD213" s="8"/>
      <c r="AE213" s="5"/>
      <c r="AF213" s="5"/>
      <c r="AP213" s="17"/>
      <c r="AQ213" s="8"/>
      <c r="AR213" s="8"/>
      <c r="CA213" s="18"/>
    </row>
    <row r="214" spans="19:79" s="4" customFormat="1" x14ac:dyDescent="0.35">
      <c r="S214" s="6"/>
      <c r="T214" s="6"/>
      <c r="AC214" s="5"/>
      <c r="AD214" s="8"/>
      <c r="AE214" s="5"/>
      <c r="AF214" s="5"/>
      <c r="AP214" s="17"/>
      <c r="AQ214" s="8"/>
      <c r="AR214" s="8"/>
      <c r="CA214" s="18"/>
    </row>
    <row r="215" spans="19:79" s="4" customFormat="1" x14ac:dyDescent="0.35">
      <c r="S215" s="6"/>
      <c r="T215" s="6"/>
      <c r="AC215" s="5"/>
      <c r="AD215" s="8"/>
      <c r="AE215" s="5"/>
      <c r="AF215" s="5"/>
      <c r="AP215" s="17"/>
      <c r="AQ215" s="8"/>
      <c r="AR215" s="8"/>
      <c r="CA215" s="18"/>
    </row>
    <row r="216" spans="19:79" s="4" customFormat="1" x14ac:dyDescent="0.35">
      <c r="S216" s="6"/>
      <c r="T216" s="6"/>
      <c r="AC216" s="5"/>
      <c r="AD216" s="8"/>
      <c r="AE216" s="5"/>
      <c r="AF216" s="5"/>
      <c r="AP216" s="17"/>
      <c r="AQ216" s="8"/>
      <c r="AR216" s="8"/>
      <c r="CA216" s="18"/>
    </row>
    <row r="217" spans="19:79" s="4" customFormat="1" x14ac:dyDescent="0.35">
      <c r="S217" s="6"/>
      <c r="T217" s="6"/>
      <c r="AC217" s="5"/>
      <c r="AD217" s="8"/>
      <c r="AE217" s="5"/>
      <c r="AF217" s="5"/>
      <c r="AP217" s="17"/>
      <c r="AQ217" s="8"/>
      <c r="AR217" s="8"/>
      <c r="CA217" s="18"/>
    </row>
    <row r="218" spans="19:79" s="4" customFormat="1" x14ac:dyDescent="0.35">
      <c r="S218" s="6"/>
      <c r="T218" s="6"/>
      <c r="AC218" s="5"/>
      <c r="AD218" s="8"/>
      <c r="AE218" s="5"/>
      <c r="AF218" s="5"/>
      <c r="AP218" s="17"/>
      <c r="AQ218" s="8"/>
      <c r="AR218" s="8"/>
      <c r="CA218" s="18"/>
    </row>
    <row r="219" spans="19:79" s="4" customFormat="1" x14ac:dyDescent="0.35">
      <c r="S219" s="6"/>
      <c r="T219" s="6"/>
      <c r="AC219" s="5"/>
      <c r="AD219" s="8"/>
      <c r="AE219" s="5"/>
      <c r="AF219" s="5"/>
      <c r="AP219" s="17"/>
      <c r="AQ219" s="8"/>
      <c r="AR219" s="8"/>
      <c r="CA219" s="18"/>
    </row>
    <row r="220" spans="19:79" s="4" customFormat="1" x14ac:dyDescent="0.35">
      <c r="S220" s="6"/>
      <c r="T220" s="6"/>
      <c r="AC220" s="5"/>
      <c r="AD220" s="8"/>
      <c r="AE220" s="5"/>
      <c r="AF220" s="5"/>
      <c r="AP220" s="17"/>
      <c r="AQ220" s="8"/>
      <c r="AR220" s="8"/>
      <c r="CA220" s="18"/>
    </row>
    <row r="221" spans="19:79" s="4" customFormat="1" x14ac:dyDescent="0.35">
      <c r="S221" s="6"/>
      <c r="T221" s="6"/>
      <c r="AC221" s="5"/>
      <c r="AD221" s="8"/>
      <c r="AE221" s="5"/>
      <c r="AF221" s="5"/>
      <c r="AP221" s="17"/>
      <c r="AQ221" s="8"/>
      <c r="AR221" s="8"/>
      <c r="CA221" s="18"/>
    </row>
    <row r="222" spans="19:79" s="4" customFormat="1" x14ac:dyDescent="0.35">
      <c r="S222" s="6"/>
      <c r="T222" s="6"/>
      <c r="AC222" s="5"/>
      <c r="AD222" s="8"/>
      <c r="AE222" s="5"/>
      <c r="AF222" s="5"/>
      <c r="AP222" s="17"/>
      <c r="AQ222" s="8"/>
      <c r="AR222" s="8"/>
      <c r="CA222" s="18"/>
    </row>
    <row r="223" spans="19:79" s="4" customFormat="1" x14ac:dyDescent="0.35">
      <c r="S223" s="6"/>
      <c r="T223" s="6"/>
      <c r="AC223" s="5"/>
      <c r="AD223" s="8"/>
      <c r="AE223" s="5"/>
      <c r="AF223" s="5"/>
      <c r="AP223" s="17"/>
      <c r="AQ223" s="8"/>
      <c r="AR223" s="8"/>
      <c r="CA223" s="18"/>
    </row>
    <row r="224" spans="19:79" s="4" customFormat="1" x14ac:dyDescent="0.35">
      <c r="S224" s="6"/>
      <c r="T224" s="6"/>
      <c r="AC224" s="5"/>
      <c r="AD224" s="8"/>
      <c r="AE224" s="5"/>
      <c r="AF224" s="5"/>
      <c r="AP224" s="17"/>
      <c r="AQ224" s="8"/>
      <c r="AR224" s="8"/>
      <c r="CA224" s="18"/>
    </row>
    <row r="225" spans="19:79" s="4" customFormat="1" x14ac:dyDescent="0.35">
      <c r="S225" s="6"/>
      <c r="T225" s="6"/>
      <c r="AC225" s="5"/>
      <c r="AD225" s="8"/>
      <c r="AE225" s="5"/>
      <c r="AF225" s="5"/>
      <c r="AP225" s="17"/>
      <c r="AQ225" s="8"/>
      <c r="AR225" s="8"/>
      <c r="CA225" s="18"/>
    </row>
    <row r="226" spans="19:79" s="4" customFormat="1" x14ac:dyDescent="0.35">
      <c r="S226" s="6"/>
      <c r="T226" s="6"/>
      <c r="AC226" s="5"/>
      <c r="AD226" s="8"/>
      <c r="AE226" s="5"/>
      <c r="AF226" s="5"/>
      <c r="AP226" s="17"/>
      <c r="AQ226" s="8"/>
      <c r="AR226" s="8"/>
      <c r="CA226" s="18"/>
    </row>
    <row r="227" spans="19:79" s="4" customFormat="1" x14ac:dyDescent="0.35">
      <c r="S227" s="6"/>
      <c r="T227" s="6"/>
      <c r="AC227" s="5"/>
      <c r="AD227" s="8"/>
      <c r="AE227" s="5"/>
      <c r="AF227" s="5"/>
      <c r="AP227" s="17"/>
      <c r="AQ227" s="8"/>
      <c r="AR227" s="8"/>
      <c r="CA227" s="18"/>
    </row>
    <row r="228" spans="19:79" s="4" customFormat="1" x14ac:dyDescent="0.35">
      <c r="S228" s="6"/>
      <c r="T228" s="6"/>
      <c r="AC228" s="5"/>
      <c r="AD228" s="8"/>
      <c r="AE228" s="5"/>
      <c r="AF228" s="5"/>
      <c r="AP228" s="17"/>
      <c r="AQ228" s="8"/>
      <c r="AR228" s="8"/>
      <c r="CA228" s="18"/>
    </row>
    <row r="229" spans="19:79" s="4" customFormat="1" x14ac:dyDescent="0.35">
      <c r="S229" s="6"/>
      <c r="T229" s="6"/>
      <c r="AC229" s="5"/>
      <c r="AD229" s="8"/>
      <c r="AE229" s="5"/>
      <c r="AF229" s="5"/>
      <c r="AP229" s="17"/>
      <c r="AQ229" s="8"/>
      <c r="AR229" s="8"/>
      <c r="CA229" s="18"/>
    </row>
    <row r="230" spans="19:79" s="4" customFormat="1" x14ac:dyDescent="0.35">
      <c r="S230" s="6"/>
      <c r="T230" s="6"/>
      <c r="AC230" s="5"/>
      <c r="AD230" s="8"/>
      <c r="AE230" s="5"/>
      <c r="AF230" s="5"/>
      <c r="AP230" s="17"/>
      <c r="AQ230" s="8"/>
      <c r="AR230" s="8"/>
      <c r="CA230" s="18"/>
    </row>
    <row r="231" spans="19:79" s="4" customFormat="1" x14ac:dyDescent="0.35">
      <c r="S231" s="6"/>
      <c r="T231" s="6"/>
      <c r="AC231" s="5"/>
      <c r="AD231" s="8"/>
      <c r="AE231" s="5"/>
      <c r="AF231" s="5"/>
      <c r="AP231" s="17"/>
      <c r="AQ231" s="8"/>
      <c r="AR231" s="8"/>
      <c r="CA231" s="18"/>
    </row>
    <row r="232" spans="19:79" s="4" customFormat="1" x14ac:dyDescent="0.35">
      <c r="S232" s="6"/>
      <c r="T232" s="6"/>
      <c r="AC232" s="5"/>
      <c r="AD232" s="8"/>
      <c r="AE232" s="5"/>
      <c r="AF232" s="5"/>
      <c r="AP232" s="17"/>
      <c r="AQ232" s="8"/>
      <c r="AR232" s="8"/>
      <c r="CA232" s="18"/>
    </row>
    <row r="233" spans="19:79" s="4" customFormat="1" x14ac:dyDescent="0.35">
      <c r="S233" s="6"/>
      <c r="T233" s="6"/>
      <c r="AC233" s="5"/>
      <c r="AD233" s="8"/>
      <c r="AE233" s="5"/>
      <c r="AF233" s="5"/>
      <c r="AP233" s="17"/>
      <c r="AQ233" s="8"/>
      <c r="AR233" s="8"/>
      <c r="CA233" s="18"/>
    </row>
    <row r="234" spans="19:79" s="4" customFormat="1" x14ac:dyDescent="0.35">
      <c r="S234" s="6"/>
      <c r="T234" s="6"/>
      <c r="AC234" s="5"/>
      <c r="AD234" s="8"/>
      <c r="AE234" s="5"/>
      <c r="AF234" s="5"/>
      <c r="AP234" s="17"/>
      <c r="AQ234" s="8"/>
      <c r="AR234" s="8"/>
      <c r="CA234" s="18"/>
    </row>
    <row r="235" spans="19:79" s="4" customFormat="1" x14ac:dyDescent="0.35">
      <c r="S235" s="6"/>
      <c r="T235" s="6"/>
      <c r="AC235" s="5"/>
      <c r="AD235" s="8"/>
      <c r="AE235" s="5"/>
      <c r="AF235" s="5"/>
      <c r="AP235" s="17"/>
      <c r="AQ235" s="8"/>
      <c r="AR235" s="8"/>
      <c r="CA235" s="18"/>
    </row>
    <row r="236" spans="19:79" s="4" customFormat="1" x14ac:dyDescent="0.35">
      <c r="S236" s="6"/>
      <c r="T236" s="6"/>
      <c r="AC236" s="5"/>
      <c r="AD236" s="8"/>
      <c r="AE236" s="5"/>
      <c r="AF236" s="5"/>
      <c r="AP236" s="17"/>
      <c r="AQ236" s="8"/>
      <c r="AR236" s="8"/>
      <c r="CA236" s="18"/>
    </row>
    <row r="237" spans="19:79" s="4" customFormat="1" x14ac:dyDescent="0.35">
      <c r="S237" s="6"/>
      <c r="T237" s="6"/>
      <c r="AC237" s="5"/>
      <c r="AD237" s="8"/>
      <c r="AE237" s="5"/>
      <c r="AF237" s="5"/>
      <c r="AP237" s="17"/>
      <c r="AQ237" s="8"/>
      <c r="AR237" s="8"/>
      <c r="CA237" s="18"/>
    </row>
    <row r="238" spans="19:79" s="4" customFormat="1" x14ac:dyDescent="0.35">
      <c r="S238" s="6"/>
      <c r="T238" s="6"/>
      <c r="AC238" s="5"/>
      <c r="AD238" s="8"/>
      <c r="AE238" s="5"/>
      <c r="AF238" s="5"/>
      <c r="AP238" s="17"/>
      <c r="AQ238" s="8"/>
      <c r="AR238" s="8"/>
      <c r="CA238" s="18"/>
    </row>
    <row r="239" spans="19:79" s="4" customFormat="1" x14ac:dyDescent="0.35">
      <c r="S239" s="6"/>
      <c r="T239" s="6"/>
      <c r="AC239" s="5"/>
      <c r="AD239" s="8"/>
      <c r="AE239" s="5"/>
      <c r="AF239" s="5"/>
      <c r="AP239" s="17"/>
      <c r="AQ239" s="8"/>
      <c r="AR239" s="8"/>
      <c r="CA239" s="18"/>
    </row>
    <row r="240" spans="19:79" s="4" customFormat="1" x14ac:dyDescent="0.35">
      <c r="S240" s="6"/>
      <c r="T240" s="6"/>
      <c r="AC240" s="5"/>
      <c r="AD240" s="8"/>
      <c r="AE240" s="5"/>
      <c r="AF240" s="5"/>
      <c r="AP240" s="17"/>
      <c r="AQ240" s="8"/>
      <c r="AR240" s="8"/>
      <c r="CA240" s="18"/>
    </row>
    <row r="241" spans="19:79" s="4" customFormat="1" x14ac:dyDescent="0.35">
      <c r="S241" s="6"/>
      <c r="T241" s="6"/>
      <c r="AC241" s="5"/>
      <c r="AD241" s="8"/>
      <c r="AE241" s="5"/>
      <c r="AF241" s="5"/>
      <c r="AP241" s="17"/>
      <c r="AQ241" s="8"/>
      <c r="AR241" s="8"/>
      <c r="CA241" s="18"/>
    </row>
    <row r="242" spans="19:79" s="4" customFormat="1" x14ac:dyDescent="0.35">
      <c r="S242" s="6"/>
      <c r="T242" s="6"/>
      <c r="AC242" s="5"/>
      <c r="AD242" s="8"/>
      <c r="AE242" s="5"/>
      <c r="AF242" s="5"/>
      <c r="AP242" s="17"/>
      <c r="AQ242" s="8"/>
      <c r="AR242" s="8"/>
      <c r="CA242" s="18"/>
    </row>
    <row r="243" spans="19:79" s="4" customFormat="1" x14ac:dyDescent="0.35">
      <c r="S243" s="6"/>
      <c r="T243" s="6"/>
      <c r="AC243" s="5"/>
      <c r="AD243" s="8"/>
      <c r="AE243" s="5"/>
      <c r="AF243" s="5"/>
      <c r="AP243" s="17"/>
      <c r="AQ243" s="8"/>
      <c r="AR243" s="8"/>
      <c r="CA243" s="18"/>
    </row>
    <row r="244" spans="19:79" s="4" customFormat="1" x14ac:dyDescent="0.35">
      <c r="S244" s="6"/>
      <c r="T244" s="6"/>
      <c r="AC244" s="5"/>
      <c r="AD244" s="8"/>
      <c r="AE244" s="5"/>
      <c r="AF244" s="5"/>
      <c r="AP244" s="17"/>
      <c r="AQ244" s="8"/>
      <c r="AR244" s="8"/>
      <c r="CA244" s="18"/>
    </row>
    <row r="245" spans="19:79" s="4" customFormat="1" x14ac:dyDescent="0.35">
      <c r="S245" s="6"/>
      <c r="T245" s="6"/>
      <c r="AC245" s="5"/>
      <c r="AD245" s="8"/>
      <c r="AE245" s="5"/>
      <c r="AF245" s="5"/>
      <c r="AP245" s="17"/>
      <c r="AQ245" s="8"/>
      <c r="AR245" s="8"/>
      <c r="CA245" s="18"/>
    </row>
    <row r="246" spans="19:79" s="4" customFormat="1" x14ac:dyDescent="0.35">
      <c r="S246" s="6"/>
      <c r="T246" s="6"/>
      <c r="AC246" s="5"/>
      <c r="AD246" s="8"/>
      <c r="AE246" s="5"/>
      <c r="AF246" s="5"/>
      <c r="AP246" s="17"/>
      <c r="AQ246" s="8"/>
      <c r="AR246" s="8"/>
      <c r="CA246" s="18"/>
    </row>
    <row r="247" spans="19:79" s="4" customFormat="1" x14ac:dyDescent="0.35">
      <c r="S247" s="6"/>
      <c r="T247" s="6"/>
      <c r="AC247" s="5"/>
      <c r="AD247" s="8"/>
      <c r="AE247" s="5"/>
      <c r="AF247" s="5"/>
      <c r="AP247" s="17"/>
      <c r="AQ247" s="8"/>
      <c r="AR247" s="8"/>
      <c r="CA247" s="18"/>
    </row>
    <row r="248" spans="19:79" s="4" customFormat="1" x14ac:dyDescent="0.35">
      <c r="S248" s="6"/>
      <c r="T248" s="6"/>
      <c r="AC248" s="5"/>
      <c r="AD248" s="8"/>
      <c r="AE248" s="5"/>
      <c r="AF248" s="5"/>
      <c r="AP248" s="17"/>
      <c r="AQ248" s="8"/>
      <c r="AR248" s="8"/>
      <c r="CA248" s="18"/>
    </row>
    <row r="249" spans="19:79" s="4" customFormat="1" x14ac:dyDescent="0.35">
      <c r="S249" s="6"/>
      <c r="T249" s="6"/>
      <c r="AC249" s="5"/>
      <c r="AD249" s="8"/>
      <c r="AE249" s="5"/>
      <c r="AF249" s="5"/>
      <c r="AP249" s="17"/>
      <c r="AQ249" s="8"/>
      <c r="AR249" s="8"/>
      <c r="CA249" s="18"/>
    </row>
    <row r="250" spans="19:79" s="4" customFormat="1" x14ac:dyDescent="0.35">
      <c r="S250" s="6"/>
      <c r="T250" s="6"/>
      <c r="AC250" s="5"/>
      <c r="AD250" s="8"/>
      <c r="AE250" s="5"/>
      <c r="AF250" s="5"/>
      <c r="AP250" s="17"/>
      <c r="AQ250" s="8"/>
      <c r="AR250" s="8"/>
      <c r="CA250" s="18"/>
    </row>
    <row r="251" spans="19:79" s="4" customFormat="1" x14ac:dyDescent="0.35">
      <c r="S251" s="6"/>
      <c r="T251" s="6"/>
      <c r="AC251" s="5"/>
      <c r="AD251" s="8"/>
      <c r="AE251" s="5"/>
      <c r="AF251" s="5"/>
      <c r="AP251" s="17"/>
      <c r="AQ251" s="8"/>
      <c r="AR251" s="8"/>
      <c r="CA251" s="18"/>
    </row>
    <row r="252" spans="19:79" s="4" customFormat="1" x14ac:dyDescent="0.35">
      <c r="S252" s="6"/>
      <c r="T252" s="6"/>
      <c r="AC252" s="5"/>
      <c r="AD252" s="8"/>
      <c r="AE252" s="5"/>
      <c r="AF252" s="5"/>
      <c r="AP252" s="17"/>
      <c r="AQ252" s="8"/>
      <c r="AR252" s="8"/>
      <c r="CA252" s="18"/>
    </row>
    <row r="253" spans="19:79" s="4" customFormat="1" x14ac:dyDescent="0.35">
      <c r="S253" s="6"/>
      <c r="T253" s="6"/>
      <c r="AC253" s="5"/>
      <c r="AD253" s="8"/>
      <c r="AE253" s="5"/>
      <c r="AF253" s="5"/>
      <c r="AP253" s="17"/>
      <c r="AQ253" s="8"/>
      <c r="AR253" s="8"/>
      <c r="CA253" s="18"/>
    </row>
    <row r="254" spans="19:79" s="4" customFormat="1" x14ac:dyDescent="0.35">
      <c r="S254" s="6"/>
      <c r="T254" s="6"/>
      <c r="AC254" s="5"/>
      <c r="AD254" s="8"/>
      <c r="AE254" s="5"/>
      <c r="AF254" s="5"/>
      <c r="AP254" s="17"/>
      <c r="AQ254" s="8"/>
      <c r="AR254" s="8"/>
      <c r="CA254" s="18"/>
    </row>
    <row r="255" spans="19:79" s="4" customFormat="1" x14ac:dyDescent="0.35">
      <c r="S255" s="6"/>
      <c r="T255" s="6"/>
      <c r="AC255" s="5"/>
      <c r="AD255" s="8"/>
      <c r="AE255" s="5"/>
      <c r="AF255" s="5"/>
      <c r="AP255" s="17"/>
      <c r="AQ255" s="8"/>
      <c r="AR255" s="8"/>
      <c r="CA255" s="18"/>
    </row>
    <row r="256" spans="19:79" s="4" customFormat="1" x14ac:dyDescent="0.35">
      <c r="S256" s="6"/>
      <c r="T256" s="6"/>
      <c r="AC256" s="5"/>
      <c r="AD256" s="8"/>
      <c r="AE256" s="5"/>
      <c r="AF256" s="5"/>
      <c r="AP256" s="17"/>
      <c r="AQ256" s="8"/>
      <c r="AR256" s="8"/>
      <c r="CA256" s="18"/>
    </row>
    <row r="257" spans="19:79" s="4" customFormat="1" x14ac:dyDescent="0.35">
      <c r="S257" s="6"/>
      <c r="T257" s="6"/>
      <c r="AC257" s="5"/>
      <c r="AD257" s="8"/>
      <c r="AE257" s="5"/>
      <c r="AF257" s="5"/>
      <c r="AP257" s="17"/>
      <c r="AQ257" s="8"/>
      <c r="AR257" s="8"/>
      <c r="CA257" s="18"/>
    </row>
    <row r="258" spans="19:79" s="4" customFormat="1" x14ac:dyDescent="0.35">
      <c r="S258" s="6"/>
      <c r="T258" s="6"/>
      <c r="AC258" s="5"/>
      <c r="AD258" s="8"/>
      <c r="AE258" s="5"/>
      <c r="AF258" s="5"/>
      <c r="AP258" s="17"/>
      <c r="AQ258" s="8"/>
      <c r="AR258" s="8"/>
      <c r="CA258" s="18"/>
    </row>
    <row r="259" spans="19:79" s="4" customFormat="1" x14ac:dyDescent="0.35">
      <c r="S259" s="6"/>
      <c r="T259" s="6"/>
      <c r="AC259" s="5"/>
      <c r="AD259" s="8"/>
      <c r="AE259" s="5"/>
      <c r="AF259" s="5"/>
      <c r="AP259" s="17"/>
      <c r="AQ259" s="8"/>
      <c r="AR259" s="8"/>
      <c r="CA259" s="18"/>
    </row>
    <row r="260" spans="19:79" s="4" customFormat="1" x14ac:dyDescent="0.35">
      <c r="S260" s="6"/>
      <c r="T260" s="6"/>
      <c r="AC260" s="5"/>
      <c r="AD260" s="8"/>
      <c r="AE260" s="5"/>
      <c r="AF260" s="5"/>
      <c r="AP260" s="17"/>
      <c r="AQ260" s="8"/>
      <c r="AR260" s="8"/>
      <c r="CA260" s="18"/>
    </row>
    <row r="261" spans="19:79" s="4" customFormat="1" x14ac:dyDescent="0.35">
      <c r="S261" s="6"/>
      <c r="T261" s="6"/>
      <c r="AC261" s="5"/>
      <c r="AD261" s="8"/>
      <c r="AE261" s="5"/>
      <c r="AF261" s="5"/>
      <c r="AP261" s="17"/>
      <c r="AQ261" s="8"/>
      <c r="AR261" s="8"/>
      <c r="CA261" s="18"/>
    </row>
    <row r="262" spans="19:79" s="4" customFormat="1" x14ac:dyDescent="0.35">
      <c r="S262" s="6"/>
      <c r="T262" s="6"/>
      <c r="AC262" s="5"/>
      <c r="AD262" s="8"/>
      <c r="AE262" s="5"/>
      <c r="AF262" s="5"/>
      <c r="AP262" s="17"/>
      <c r="AQ262" s="8"/>
      <c r="AR262" s="8"/>
      <c r="CA262" s="18"/>
    </row>
    <row r="263" spans="19:79" s="4" customFormat="1" x14ac:dyDescent="0.35">
      <c r="S263" s="6"/>
      <c r="T263" s="6"/>
      <c r="AC263" s="5"/>
      <c r="AD263" s="8"/>
      <c r="AE263" s="5"/>
      <c r="AF263" s="5"/>
      <c r="AP263" s="17"/>
      <c r="AQ263" s="8"/>
      <c r="AR263" s="8"/>
      <c r="CA263" s="18"/>
    </row>
    <row r="264" spans="19:79" s="4" customFormat="1" x14ac:dyDescent="0.35">
      <c r="S264" s="6"/>
      <c r="T264" s="6"/>
      <c r="AC264" s="5"/>
      <c r="AD264" s="8"/>
      <c r="AE264" s="5"/>
      <c r="AF264" s="5"/>
      <c r="AP264" s="17"/>
      <c r="AQ264" s="8"/>
      <c r="AR264" s="8"/>
      <c r="CA264" s="18"/>
    </row>
    <row r="265" spans="19:79" s="4" customFormat="1" x14ac:dyDescent="0.35">
      <c r="S265" s="6"/>
      <c r="T265" s="6"/>
      <c r="AC265" s="5"/>
      <c r="AD265" s="8"/>
      <c r="AE265" s="5"/>
      <c r="AF265" s="5"/>
      <c r="AP265" s="17"/>
      <c r="AQ265" s="8"/>
      <c r="AR265" s="8"/>
      <c r="CA265" s="18"/>
    </row>
    <row r="266" spans="19:79" s="4" customFormat="1" x14ac:dyDescent="0.35">
      <c r="S266" s="6"/>
      <c r="T266" s="6"/>
      <c r="AC266" s="5"/>
      <c r="AD266" s="8"/>
      <c r="AE266" s="5"/>
      <c r="AF266" s="5"/>
      <c r="AP266" s="17"/>
      <c r="AQ266" s="8"/>
      <c r="AR266" s="8"/>
      <c r="CA266" s="18"/>
    </row>
    <row r="267" spans="19:79" s="4" customFormat="1" x14ac:dyDescent="0.35">
      <c r="S267" s="6"/>
      <c r="T267" s="6"/>
      <c r="AC267" s="5"/>
      <c r="AD267" s="8"/>
      <c r="AE267" s="5"/>
      <c r="AF267" s="5"/>
      <c r="AP267" s="17"/>
      <c r="AQ267" s="8"/>
      <c r="AR267" s="8"/>
      <c r="CA267" s="18"/>
    </row>
    <row r="268" spans="19:79" s="4" customFormat="1" x14ac:dyDescent="0.35">
      <c r="S268" s="6"/>
      <c r="T268" s="6"/>
      <c r="AC268" s="5"/>
      <c r="AD268" s="8"/>
      <c r="AE268" s="5"/>
      <c r="AF268" s="5"/>
      <c r="AP268" s="17"/>
      <c r="AQ268" s="8"/>
      <c r="AR268" s="8"/>
      <c r="CA268" s="18"/>
    </row>
    <row r="269" spans="19:79" s="4" customFormat="1" x14ac:dyDescent="0.35">
      <c r="S269" s="6"/>
      <c r="T269" s="6"/>
      <c r="AC269" s="5"/>
      <c r="AD269" s="8"/>
      <c r="AE269" s="5"/>
      <c r="AF269" s="5"/>
      <c r="AP269" s="17"/>
      <c r="AQ269" s="8"/>
      <c r="AR269" s="8"/>
      <c r="CA269" s="18"/>
    </row>
    <row r="270" spans="19:79" s="4" customFormat="1" x14ac:dyDescent="0.35">
      <c r="S270" s="6"/>
      <c r="T270" s="6"/>
      <c r="AC270" s="5"/>
      <c r="AD270" s="8"/>
      <c r="AE270" s="5"/>
      <c r="AF270" s="5"/>
      <c r="AP270" s="17"/>
      <c r="AQ270" s="8"/>
      <c r="AR270" s="8"/>
      <c r="CA270" s="18"/>
    </row>
    <row r="271" spans="19:79" s="4" customFormat="1" x14ac:dyDescent="0.35">
      <c r="S271" s="6"/>
      <c r="T271" s="6"/>
      <c r="AC271" s="5"/>
      <c r="AD271" s="8"/>
      <c r="AE271" s="5"/>
      <c r="AF271" s="5"/>
      <c r="AP271" s="17"/>
      <c r="AQ271" s="8"/>
      <c r="AR271" s="8"/>
      <c r="CA271" s="18"/>
    </row>
    <row r="272" spans="19:79" s="4" customFormat="1" x14ac:dyDescent="0.35">
      <c r="S272" s="6"/>
      <c r="T272" s="6"/>
      <c r="AC272" s="5"/>
      <c r="AD272" s="8"/>
      <c r="AE272" s="5"/>
      <c r="AF272" s="5"/>
      <c r="AP272" s="17"/>
      <c r="AQ272" s="8"/>
      <c r="AR272" s="8"/>
      <c r="CA272" s="18"/>
    </row>
    <row r="273" spans="19:79" s="4" customFormat="1" x14ac:dyDescent="0.35">
      <c r="S273" s="6"/>
      <c r="T273" s="6"/>
      <c r="AC273" s="5"/>
      <c r="AD273" s="8"/>
      <c r="AE273" s="5"/>
      <c r="AF273" s="5"/>
      <c r="AP273" s="17"/>
      <c r="AQ273" s="8"/>
      <c r="AR273" s="8"/>
      <c r="CA273" s="18"/>
    </row>
    <row r="274" spans="19:79" s="4" customFormat="1" x14ac:dyDescent="0.35">
      <c r="S274" s="6"/>
      <c r="T274" s="6"/>
      <c r="AC274" s="5"/>
      <c r="AD274" s="8"/>
      <c r="AE274" s="5"/>
      <c r="AF274" s="5"/>
      <c r="AP274" s="17"/>
      <c r="AQ274" s="8"/>
      <c r="AR274" s="8"/>
      <c r="CA274" s="18"/>
    </row>
    <row r="275" spans="19:79" s="4" customFormat="1" x14ac:dyDescent="0.35">
      <c r="S275" s="6"/>
      <c r="T275" s="6"/>
      <c r="AC275" s="5"/>
      <c r="AD275" s="8"/>
      <c r="AE275" s="5"/>
      <c r="AF275" s="5"/>
      <c r="AP275" s="17"/>
      <c r="AQ275" s="8"/>
      <c r="AR275" s="8"/>
      <c r="CA275" s="18"/>
    </row>
    <row r="276" spans="19:79" s="4" customFormat="1" x14ac:dyDescent="0.35">
      <c r="S276" s="6"/>
      <c r="T276" s="6"/>
      <c r="AC276" s="5"/>
      <c r="AD276" s="8"/>
      <c r="AE276" s="5"/>
      <c r="AF276" s="5"/>
      <c r="AP276" s="17"/>
      <c r="AQ276" s="8"/>
      <c r="AR276" s="8"/>
      <c r="CA276" s="18"/>
    </row>
    <row r="277" spans="19:79" s="4" customFormat="1" x14ac:dyDescent="0.35">
      <c r="S277" s="6"/>
      <c r="T277" s="6"/>
      <c r="AC277" s="5"/>
      <c r="AD277" s="8"/>
      <c r="AE277" s="5"/>
      <c r="AF277" s="5"/>
      <c r="AP277" s="17"/>
      <c r="AQ277" s="8"/>
      <c r="AR277" s="8"/>
      <c r="CA277" s="18"/>
    </row>
    <row r="278" spans="19:79" s="4" customFormat="1" x14ac:dyDescent="0.35">
      <c r="S278" s="6"/>
      <c r="T278" s="6"/>
      <c r="AC278" s="5"/>
      <c r="AD278" s="8"/>
      <c r="AE278" s="5"/>
      <c r="AF278" s="5"/>
      <c r="AP278" s="17"/>
      <c r="AQ278" s="8"/>
      <c r="AR278" s="8"/>
      <c r="CA278" s="18"/>
    </row>
    <row r="279" spans="19:79" s="4" customFormat="1" x14ac:dyDescent="0.35">
      <c r="S279" s="6"/>
      <c r="T279" s="6"/>
      <c r="AC279" s="5"/>
      <c r="AD279" s="8"/>
      <c r="AE279" s="5"/>
      <c r="AF279" s="5"/>
      <c r="AP279" s="17"/>
      <c r="AQ279" s="8"/>
      <c r="AR279" s="8"/>
      <c r="CA279" s="18"/>
    </row>
    <row r="280" spans="19:79" s="4" customFormat="1" x14ac:dyDescent="0.35">
      <c r="S280" s="6"/>
      <c r="T280" s="6"/>
      <c r="AC280" s="5"/>
      <c r="AD280" s="8"/>
      <c r="AE280" s="5"/>
      <c r="AF280" s="5"/>
      <c r="AP280" s="17"/>
      <c r="AQ280" s="8"/>
      <c r="AR280" s="8"/>
      <c r="CA280" s="18"/>
    </row>
    <row r="281" spans="19:79" s="4" customFormat="1" x14ac:dyDescent="0.35">
      <c r="S281" s="6"/>
      <c r="T281" s="6"/>
      <c r="AC281" s="5"/>
      <c r="AD281" s="8"/>
      <c r="AE281" s="5"/>
      <c r="AF281" s="5"/>
      <c r="AP281" s="17"/>
      <c r="AQ281" s="8"/>
      <c r="AR281" s="8"/>
      <c r="CA281" s="18"/>
    </row>
    <row r="282" spans="19:79" s="4" customFormat="1" x14ac:dyDescent="0.35">
      <c r="S282" s="6"/>
      <c r="T282" s="6"/>
      <c r="AC282" s="5"/>
      <c r="AD282" s="8"/>
      <c r="AE282" s="5"/>
      <c r="AF282" s="5"/>
      <c r="AP282" s="17"/>
      <c r="AQ282" s="8"/>
      <c r="AR282" s="8"/>
      <c r="CA282" s="18"/>
    </row>
    <row r="283" spans="19:79" s="4" customFormat="1" x14ac:dyDescent="0.35">
      <c r="S283" s="6"/>
      <c r="T283" s="6"/>
      <c r="AC283" s="5"/>
      <c r="AD283" s="8"/>
      <c r="AE283" s="5"/>
      <c r="AF283" s="5"/>
      <c r="AP283" s="17"/>
      <c r="AQ283" s="8"/>
      <c r="AR283" s="8"/>
      <c r="CA283" s="18"/>
    </row>
    <row r="284" spans="19:79" s="4" customFormat="1" x14ac:dyDescent="0.35">
      <c r="S284" s="6"/>
      <c r="T284" s="6"/>
      <c r="AC284" s="5"/>
      <c r="AD284" s="8"/>
      <c r="AE284" s="5"/>
      <c r="AF284" s="5"/>
      <c r="AP284" s="17"/>
      <c r="AQ284" s="8"/>
      <c r="AR284" s="8"/>
      <c r="CA284" s="18"/>
    </row>
    <row r="285" spans="19:79" s="4" customFormat="1" x14ac:dyDescent="0.35">
      <c r="S285" s="6"/>
      <c r="T285" s="6"/>
      <c r="AC285" s="5"/>
      <c r="AD285" s="8"/>
      <c r="AE285" s="5"/>
      <c r="AF285" s="5"/>
      <c r="AP285" s="17"/>
      <c r="AQ285" s="8"/>
      <c r="AR285" s="8"/>
      <c r="CA285" s="18"/>
    </row>
    <row r="286" spans="19:79" s="4" customFormat="1" x14ac:dyDescent="0.35">
      <c r="S286" s="6"/>
      <c r="T286" s="6"/>
      <c r="AC286" s="5"/>
      <c r="AD286" s="8"/>
      <c r="AE286" s="5"/>
      <c r="AF286" s="5"/>
      <c r="AP286" s="17"/>
      <c r="AQ286" s="8"/>
      <c r="AR286" s="8"/>
      <c r="CA286" s="18"/>
    </row>
    <row r="287" spans="19:79" s="4" customFormat="1" x14ac:dyDescent="0.35">
      <c r="S287" s="6"/>
      <c r="T287" s="6"/>
      <c r="AC287" s="5"/>
      <c r="AD287" s="8"/>
      <c r="AE287" s="5"/>
      <c r="AF287" s="5"/>
      <c r="AP287" s="17"/>
      <c r="AQ287" s="8"/>
      <c r="AR287" s="8"/>
      <c r="CA287" s="18"/>
    </row>
    <row r="288" spans="19:79" s="4" customFormat="1" x14ac:dyDescent="0.35">
      <c r="S288" s="6"/>
      <c r="T288" s="6"/>
      <c r="AC288" s="5"/>
      <c r="AD288" s="8"/>
      <c r="AE288" s="5"/>
      <c r="AF288" s="5"/>
      <c r="AP288" s="17"/>
      <c r="AQ288" s="8"/>
      <c r="AR288" s="8"/>
      <c r="CA288" s="18"/>
    </row>
    <row r="289" spans="19:79" s="4" customFormat="1" x14ac:dyDescent="0.35">
      <c r="S289" s="6"/>
      <c r="T289" s="6"/>
      <c r="AC289" s="5"/>
      <c r="AD289" s="8"/>
      <c r="AE289" s="5"/>
      <c r="AF289" s="5"/>
      <c r="AP289" s="17"/>
      <c r="AQ289" s="8"/>
      <c r="AR289" s="8"/>
      <c r="CA289" s="18"/>
    </row>
    <row r="290" spans="19:79" s="4" customFormat="1" x14ac:dyDescent="0.35">
      <c r="S290" s="6"/>
      <c r="T290" s="6"/>
      <c r="AC290" s="5"/>
      <c r="AD290" s="8"/>
      <c r="AE290" s="5"/>
      <c r="AF290" s="5"/>
      <c r="AP290" s="17"/>
      <c r="AQ290" s="8"/>
      <c r="AR290" s="8"/>
      <c r="CA290" s="18"/>
    </row>
    <row r="291" spans="19:79" s="4" customFormat="1" x14ac:dyDescent="0.35">
      <c r="S291" s="6"/>
      <c r="T291" s="6"/>
      <c r="AC291" s="5"/>
      <c r="AD291" s="8"/>
      <c r="AE291" s="5"/>
      <c r="AF291" s="5"/>
      <c r="AP291" s="17"/>
      <c r="AQ291" s="8"/>
      <c r="AR291" s="8"/>
      <c r="CA291" s="18"/>
    </row>
    <row r="292" spans="19:79" s="4" customFormat="1" x14ac:dyDescent="0.35">
      <c r="S292" s="6"/>
      <c r="T292" s="6"/>
      <c r="AC292" s="5"/>
      <c r="AD292" s="8"/>
      <c r="AE292" s="5"/>
      <c r="AF292" s="5"/>
      <c r="AP292" s="17"/>
      <c r="AQ292" s="8"/>
      <c r="AR292" s="8"/>
      <c r="CA292" s="18"/>
    </row>
    <row r="293" spans="19:79" s="4" customFormat="1" x14ac:dyDescent="0.35">
      <c r="S293" s="6"/>
      <c r="T293" s="6"/>
      <c r="AC293" s="5"/>
      <c r="AD293" s="8"/>
      <c r="AE293" s="5"/>
      <c r="AF293" s="5"/>
      <c r="AP293" s="17"/>
      <c r="AQ293" s="8"/>
      <c r="AR293" s="8"/>
      <c r="CA293" s="18"/>
    </row>
    <row r="294" spans="19:79" s="4" customFormat="1" x14ac:dyDescent="0.35">
      <c r="S294" s="6"/>
      <c r="T294" s="6"/>
      <c r="AC294" s="5"/>
      <c r="AD294" s="8"/>
      <c r="AE294" s="5"/>
      <c r="AF294" s="5"/>
      <c r="AP294" s="17"/>
      <c r="AQ294" s="8"/>
      <c r="AR294" s="8"/>
      <c r="CA294" s="18"/>
    </row>
    <row r="295" spans="19:79" s="4" customFormat="1" x14ac:dyDescent="0.35">
      <c r="S295" s="6"/>
      <c r="T295" s="6"/>
      <c r="AC295" s="5"/>
      <c r="AD295" s="8"/>
      <c r="AE295" s="5"/>
      <c r="AF295" s="5"/>
      <c r="AP295" s="17"/>
      <c r="AQ295" s="8"/>
      <c r="AR295" s="8"/>
      <c r="CA295" s="18"/>
    </row>
    <row r="296" spans="19:79" s="4" customFormat="1" x14ac:dyDescent="0.35">
      <c r="S296" s="6"/>
      <c r="T296" s="6"/>
      <c r="AC296" s="5"/>
      <c r="AD296" s="8"/>
      <c r="AE296" s="5"/>
      <c r="AF296" s="5"/>
      <c r="AP296" s="17"/>
      <c r="AQ296" s="8"/>
      <c r="AR296" s="8"/>
      <c r="CA296" s="18"/>
    </row>
    <row r="297" spans="19:79" s="4" customFormat="1" x14ac:dyDescent="0.35">
      <c r="S297" s="6"/>
      <c r="T297" s="6"/>
      <c r="AC297" s="5"/>
      <c r="AD297" s="8"/>
      <c r="AE297" s="5"/>
      <c r="AF297" s="5"/>
      <c r="AP297" s="17"/>
      <c r="AQ297" s="8"/>
      <c r="AR297" s="8"/>
      <c r="CA297" s="18"/>
    </row>
    <row r="298" spans="19:79" s="4" customFormat="1" x14ac:dyDescent="0.35">
      <c r="S298" s="6"/>
      <c r="T298" s="6"/>
      <c r="AC298" s="5"/>
      <c r="AD298" s="8"/>
      <c r="AE298" s="5"/>
      <c r="AF298" s="5"/>
      <c r="AP298" s="17"/>
      <c r="AQ298" s="8"/>
      <c r="AR298" s="8"/>
      <c r="CA298" s="18"/>
    </row>
    <row r="299" spans="19:79" s="4" customFormat="1" x14ac:dyDescent="0.35">
      <c r="S299" s="6"/>
      <c r="T299" s="6"/>
      <c r="AC299" s="5"/>
      <c r="AD299" s="8"/>
      <c r="AE299" s="5"/>
      <c r="AF299" s="5"/>
      <c r="AP299" s="17"/>
      <c r="AQ299" s="8"/>
      <c r="AR299" s="8"/>
      <c r="CA299" s="18"/>
    </row>
    <row r="300" spans="19:79" s="4" customFormat="1" x14ac:dyDescent="0.35">
      <c r="S300" s="6"/>
      <c r="T300" s="6"/>
      <c r="AC300" s="5"/>
      <c r="AD300" s="8"/>
      <c r="AE300" s="5"/>
      <c r="AF300" s="5"/>
      <c r="AP300" s="17"/>
      <c r="AQ300" s="8"/>
      <c r="AR300" s="8"/>
      <c r="CA300" s="18"/>
    </row>
    <row r="301" spans="19:79" s="4" customFormat="1" x14ac:dyDescent="0.35">
      <c r="S301" s="6"/>
      <c r="T301" s="6"/>
      <c r="AC301" s="5"/>
      <c r="AD301" s="8"/>
      <c r="AE301" s="5"/>
      <c r="AF301" s="5"/>
      <c r="AP301" s="17"/>
      <c r="AQ301" s="8"/>
      <c r="AR301" s="8"/>
      <c r="CA301" s="18"/>
    </row>
    <row r="302" spans="19:79" s="4" customFormat="1" x14ac:dyDescent="0.35">
      <c r="S302" s="6"/>
      <c r="T302" s="6"/>
      <c r="AC302" s="5"/>
      <c r="AD302" s="8"/>
      <c r="AE302" s="5"/>
      <c r="AF302" s="5"/>
      <c r="AP302" s="17"/>
      <c r="AQ302" s="8"/>
      <c r="AR302" s="8"/>
      <c r="CA302" s="18"/>
    </row>
    <row r="303" spans="19:79" s="4" customFormat="1" x14ac:dyDescent="0.35">
      <c r="S303" s="6"/>
      <c r="T303" s="6"/>
      <c r="AC303" s="5"/>
      <c r="AD303" s="8"/>
      <c r="AE303" s="5"/>
      <c r="AF303" s="5"/>
      <c r="AP303" s="17"/>
      <c r="AQ303" s="8"/>
      <c r="AR303" s="8"/>
      <c r="CA303" s="18"/>
    </row>
    <row r="304" spans="19:79" s="4" customFormat="1" x14ac:dyDescent="0.35">
      <c r="S304" s="6"/>
      <c r="T304" s="6"/>
      <c r="AC304" s="5"/>
      <c r="AD304" s="8"/>
      <c r="AE304" s="5"/>
      <c r="AF304" s="5"/>
      <c r="AP304" s="17"/>
      <c r="AQ304" s="8"/>
      <c r="AR304" s="8"/>
      <c r="CA304" s="18"/>
    </row>
    <row r="305" spans="19:79" s="4" customFormat="1" x14ac:dyDescent="0.35">
      <c r="S305" s="6"/>
      <c r="T305" s="6"/>
      <c r="AC305" s="5"/>
      <c r="AD305" s="8"/>
      <c r="AE305" s="5"/>
      <c r="AF305" s="5"/>
      <c r="AP305" s="17"/>
      <c r="AQ305" s="8"/>
      <c r="AR305" s="8"/>
      <c r="CA305" s="18"/>
    </row>
    <row r="306" spans="19:79" s="4" customFormat="1" x14ac:dyDescent="0.35">
      <c r="S306" s="6"/>
      <c r="T306" s="6"/>
      <c r="AC306" s="5"/>
      <c r="AD306" s="8"/>
      <c r="AE306" s="5"/>
      <c r="AF306" s="5"/>
      <c r="AP306" s="17"/>
      <c r="AQ306" s="8"/>
      <c r="AR306" s="8"/>
      <c r="CA306" s="18"/>
    </row>
    <row r="307" spans="19:79" s="4" customFormat="1" x14ac:dyDescent="0.35">
      <c r="S307" s="6"/>
      <c r="T307" s="6"/>
      <c r="AC307" s="5"/>
      <c r="AD307" s="8"/>
      <c r="AE307" s="5"/>
      <c r="AF307" s="5"/>
      <c r="AP307" s="17"/>
      <c r="AQ307" s="8"/>
      <c r="AR307" s="8"/>
      <c r="CA307" s="18"/>
    </row>
    <row r="308" spans="19:79" s="4" customFormat="1" x14ac:dyDescent="0.35">
      <c r="S308" s="6"/>
      <c r="T308" s="6"/>
      <c r="AC308" s="5"/>
      <c r="AD308" s="8"/>
      <c r="AE308" s="5"/>
      <c r="AF308" s="5"/>
      <c r="AP308" s="17"/>
      <c r="AQ308" s="8"/>
      <c r="AR308" s="8"/>
      <c r="CA308" s="18"/>
    </row>
    <row r="309" spans="19:79" s="4" customFormat="1" x14ac:dyDescent="0.35">
      <c r="S309" s="6"/>
      <c r="T309" s="6"/>
      <c r="AC309" s="5"/>
      <c r="AD309" s="8"/>
      <c r="AE309" s="5"/>
      <c r="AF309" s="5"/>
      <c r="AP309" s="17"/>
      <c r="AQ309" s="8"/>
      <c r="AR309" s="8"/>
      <c r="CA309" s="18"/>
    </row>
    <row r="310" spans="19:79" s="4" customFormat="1" x14ac:dyDescent="0.35">
      <c r="S310" s="6"/>
      <c r="T310" s="6"/>
      <c r="AC310" s="5"/>
      <c r="AD310" s="8"/>
      <c r="AE310" s="5"/>
      <c r="AF310" s="5"/>
      <c r="AP310" s="17"/>
      <c r="AQ310" s="8"/>
      <c r="AR310" s="8"/>
      <c r="CA310" s="18"/>
    </row>
    <row r="311" spans="19:79" s="4" customFormat="1" x14ac:dyDescent="0.35">
      <c r="S311" s="6"/>
      <c r="T311" s="6"/>
      <c r="AC311" s="5"/>
      <c r="AD311" s="8"/>
      <c r="AE311" s="5"/>
      <c r="AF311" s="5"/>
      <c r="AP311" s="17"/>
      <c r="AQ311" s="8"/>
      <c r="AR311" s="8"/>
      <c r="CA311" s="18"/>
    </row>
    <row r="312" spans="19:79" s="4" customFormat="1" x14ac:dyDescent="0.35">
      <c r="S312" s="6"/>
      <c r="T312" s="6"/>
      <c r="AC312" s="5"/>
      <c r="AD312" s="8"/>
      <c r="AE312" s="5"/>
      <c r="AF312" s="5"/>
      <c r="AP312" s="17"/>
      <c r="AQ312" s="8"/>
      <c r="AR312" s="8"/>
      <c r="CA312" s="18"/>
    </row>
    <row r="313" spans="19:79" s="4" customFormat="1" x14ac:dyDescent="0.35">
      <c r="S313" s="6"/>
      <c r="T313" s="6"/>
      <c r="AC313" s="5"/>
      <c r="AD313" s="8"/>
      <c r="AE313" s="5"/>
      <c r="AF313" s="5"/>
      <c r="AP313" s="17"/>
      <c r="AQ313" s="8"/>
      <c r="AR313" s="8"/>
      <c r="CA313" s="18"/>
    </row>
    <row r="314" spans="19:79" s="4" customFormat="1" x14ac:dyDescent="0.35">
      <c r="S314" s="6"/>
      <c r="T314" s="6"/>
      <c r="AC314" s="5"/>
      <c r="AD314" s="8"/>
      <c r="AE314" s="5"/>
      <c r="AF314" s="5"/>
      <c r="AP314" s="17"/>
      <c r="AQ314" s="8"/>
      <c r="AR314" s="8"/>
      <c r="CA314" s="18"/>
    </row>
    <row r="315" spans="19:79" s="4" customFormat="1" x14ac:dyDescent="0.35">
      <c r="S315" s="6"/>
      <c r="T315" s="6"/>
      <c r="AC315" s="5"/>
      <c r="AD315" s="8"/>
      <c r="AE315" s="5"/>
      <c r="AF315" s="5"/>
      <c r="AP315" s="17"/>
      <c r="AQ315" s="8"/>
      <c r="AR315" s="8"/>
      <c r="CA315" s="18"/>
    </row>
    <row r="316" spans="19:79" s="4" customFormat="1" x14ac:dyDescent="0.35">
      <c r="S316" s="6"/>
      <c r="T316" s="6"/>
      <c r="AC316" s="5"/>
      <c r="AD316" s="8"/>
      <c r="AE316" s="5"/>
      <c r="AF316" s="5"/>
      <c r="AP316" s="17"/>
      <c r="AQ316" s="8"/>
      <c r="AR316" s="8"/>
      <c r="CA316" s="18"/>
    </row>
    <row r="317" spans="19:79" s="4" customFormat="1" x14ac:dyDescent="0.35">
      <c r="S317" s="6"/>
      <c r="T317" s="6"/>
      <c r="AC317" s="5"/>
      <c r="AD317" s="8"/>
      <c r="AE317" s="5"/>
      <c r="AF317" s="5"/>
      <c r="AP317" s="17"/>
      <c r="AQ317" s="8"/>
      <c r="AR317" s="8"/>
      <c r="CA317" s="18"/>
    </row>
    <row r="318" spans="19:79" s="4" customFormat="1" x14ac:dyDescent="0.35">
      <c r="S318" s="6"/>
      <c r="T318" s="6"/>
      <c r="AC318" s="5"/>
      <c r="AD318" s="8"/>
      <c r="AE318" s="5"/>
      <c r="AF318" s="5"/>
      <c r="AP318" s="17"/>
      <c r="AQ318" s="8"/>
      <c r="AR318" s="8"/>
      <c r="CA318" s="18"/>
    </row>
    <row r="319" spans="19:79" s="4" customFormat="1" x14ac:dyDescent="0.35">
      <c r="S319" s="6"/>
      <c r="T319" s="6"/>
      <c r="AC319" s="5"/>
      <c r="AD319" s="8"/>
      <c r="AE319" s="5"/>
      <c r="AF319" s="5"/>
      <c r="AP319" s="17"/>
      <c r="AQ319" s="8"/>
      <c r="AR319" s="8"/>
      <c r="CA319" s="18"/>
    </row>
    <row r="320" spans="19:79" s="4" customFormat="1" x14ac:dyDescent="0.35">
      <c r="S320" s="6"/>
      <c r="T320" s="6"/>
      <c r="AC320" s="5"/>
      <c r="AD320" s="8"/>
      <c r="AE320" s="5"/>
      <c r="AF320" s="5"/>
      <c r="AP320" s="17"/>
      <c r="AQ320" s="8"/>
      <c r="AR320" s="8"/>
      <c r="CA320" s="18"/>
    </row>
    <row r="321" spans="19:79" s="4" customFormat="1" x14ac:dyDescent="0.35">
      <c r="S321" s="6"/>
      <c r="T321" s="6"/>
      <c r="AC321" s="5"/>
      <c r="AD321" s="8"/>
      <c r="AE321" s="5"/>
      <c r="AF321" s="5"/>
      <c r="AP321" s="17"/>
      <c r="AQ321" s="8"/>
      <c r="AR321" s="8"/>
      <c r="CA321" s="18"/>
    </row>
    <row r="322" spans="19:79" s="4" customFormat="1" x14ac:dyDescent="0.35">
      <c r="S322" s="6"/>
      <c r="T322" s="6"/>
      <c r="AC322" s="5"/>
      <c r="AD322" s="8"/>
      <c r="AE322" s="5"/>
      <c r="AF322" s="5"/>
      <c r="AP322" s="17"/>
      <c r="AQ322" s="8"/>
      <c r="AR322" s="8"/>
      <c r="CA322" s="18"/>
    </row>
    <row r="323" spans="19:79" s="4" customFormat="1" x14ac:dyDescent="0.35">
      <c r="S323" s="6"/>
      <c r="T323" s="6"/>
      <c r="AC323" s="5"/>
      <c r="AD323" s="8"/>
      <c r="AE323" s="5"/>
      <c r="AF323" s="5"/>
      <c r="AP323" s="17"/>
      <c r="AQ323" s="8"/>
      <c r="AR323" s="8"/>
      <c r="CA323" s="18"/>
    </row>
    <row r="324" spans="19:79" s="4" customFormat="1" x14ac:dyDescent="0.35">
      <c r="S324" s="6"/>
      <c r="T324" s="6"/>
      <c r="AC324" s="5"/>
      <c r="AD324" s="8"/>
      <c r="AE324" s="5"/>
      <c r="AF324" s="5"/>
      <c r="AP324" s="17"/>
      <c r="AQ324" s="8"/>
      <c r="AR324" s="8"/>
      <c r="CA324" s="18"/>
    </row>
    <row r="325" spans="19:79" s="4" customFormat="1" x14ac:dyDescent="0.35">
      <c r="S325" s="6"/>
      <c r="T325" s="6"/>
      <c r="AC325" s="5"/>
      <c r="AD325" s="8"/>
      <c r="AE325" s="5"/>
      <c r="AF325" s="5"/>
      <c r="AP325" s="17"/>
      <c r="AQ325" s="8"/>
      <c r="AR325" s="8"/>
      <c r="CA325" s="18"/>
    </row>
    <row r="326" spans="19:79" s="4" customFormat="1" x14ac:dyDescent="0.35">
      <c r="S326" s="6"/>
      <c r="T326" s="6"/>
      <c r="AC326" s="5"/>
      <c r="AD326" s="8"/>
      <c r="AE326" s="5"/>
      <c r="AF326" s="5"/>
      <c r="AP326" s="17"/>
      <c r="AQ326" s="8"/>
      <c r="AR326" s="8"/>
      <c r="CA326" s="18"/>
    </row>
    <row r="327" spans="19:79" s="4" customFormat="1" x14ac:dyDescent="0.35">
      <c r="S327" s="6"/>
      <c r="T327" s="6"/>
      <c r="AC327" s="5"/>
      <c r="AD327" s="8"/>
      <c r="AE327" s="5"/>
      <c r="AF327" s="5"/>
      <c r="AP327" s="17"/>
      <c r="AQ327" s="8"/>
      <c r="AR327" s="8"/>
      <c r="CA327" s="18"/>
    </row>
    <row r="328" spans="19:79" s="4" customFormat="1" x14ac:dyDescent="0.35">
      <c r="S328" s="6"/>
      <c r="T328" s="6"/>
      <c r="AC328" s="5"/>
      <c r="AD328" s="8"/>
      <c r="AE328" s="5"/>
      <c r="AF328" s="5"/>
      <c r="AP328" s="17"/>
      <c r="AQ328" s="8"/>
      <c r="AR328" s="8"/>
      <c r="CA328" s="18"/>
    </row>
    <row r="329" spans="19:79" s="4" customFormat="1" x14ac:dyDescent="0.35">
      <c r="S329" s="6"/>
      <c r="T329" s="6"/>
      <c r="AC329" s="5"/>
      <c r="AD329" s="8"/>
      <c r="AE329" s="5"/>
      <c r="AF329" s="5"/>
      <c r="AP329" s="17"/>
      <c r="AQ329" s="8"/>
      <c r="AR329" s="8"/>
      <c r="CA329" s="18"/>
    </row>
    <row r="330" spans="19:79" s="4" customFormat="1" x14ac:dyDescent="0.35">
      <c r="S330" s="6"/>
      <c r="T330" s="6"/>
      <c r="AC330" s="5"/>
      <c r="AD330" s="8"/>
      <c r="AE330" s="5"/>
      <c r="AF330" s="5"/>
      <c r="AP330" s="17"/>
      <c r="AQ330" s="8"/>
      <c r="AR330" s="8"/>
      <c r="CA330" s="18"/>
    </row>
    <row r="331" spans="19:79" s="4" customFormat="1" x14ac:dyDescent="0.35">
      <c r="S331" s="6"/>
      <c r="T331" s="6"/>
      <c r="AC331" s="5"/>
      <c r="AD331" s="8"/>
      <c r="AE331" s="5"/>
      <c r="AF331" s="5"/>
      <c r="AP331" s="17"/>
      <c r="AQ331" s="8"/>
      <c r="AR331" s="8"/>
      <c r="CA331" s="18"/>
    </row>
    <row r="332" spans="19:79" s="4" customFormat="1" x14ac:dyDescent="0.35">
      <c r="S332" s="6"/>
      <c r="T332" s="6"/>
      <c r="AC332" s="5"/>
      <c r="AD332" s="8"/>
      <c r="AE332" s="5"/>
      <c r="AF332" s="5"/>
      <c r="AP332" s="17"/>
      <c r="AQ332" s="8"/>
      <c r="AR332" s="8"/>
      <c r="CA332" s="18"/>
    </row>
    <row r="333" spans="19:79" s="4" customFormat="1" x14ac:dyDescent="0.35">
      <c r="S333" s="6"/>
      <c r="T333" s="6"/>
      <c r="AC333" s="5"/>
      <c r="AD333" s="8"/>
      <c r="AE333" s="5"/>
      <c r="AF333" s="5"/>
      <c r="AP333" s="17"/>
      <c r="AQ333" s="8"/>
      <c r="AR333" s="8"/>
      <c r="CA333" s="18"/>
    </row>
    <row r="334" spans="19:79" s="4" customFormat="1" x14ac:dyDescent="0.35">
      <c r="S334" s="6"/>
      <c r="T334" s="6"/>
      <c r="AC334" s="5"/>
      <c r="AD334" s="8"/>
      <c r="AE334" s="5"/>
      <c r="AF334" s="5"/>
      <c r="AP334" s="17"/>
      <c r="AQ334" s="8"/>
      <c r="AR334" s="8"/>
      <c r="CA334" s="18"/>
    </row>
    <row r="335" spans="19:79" s="4" customFormat="1" x14ac:dyDescent="0.35">
      <c r="S335" s="6"/>
      <c r="T335" s="6"/>
      <c r="AC335" s="5"/>
      <c r="AD335" s="8"/>
      <c r="AE335" s="5"/>
      <c r="AF335" s="5"/>
      <c r="AP335" s="17"/>
      <c r="AQ335" s="8"/>
      <c r="AR335" s="8"/>
      <c r="CA335" s="18"/>
    </row>
    <row r="336" spans="19:79" s="4" customFormat="1" x14ac:dyDescent="0.35">
      <c r="S336" s="6"/>
      <c r="T336" s="6"/>
      <c r="AC336" s="5"/>
      <c r="AD336" s="8"/>
      <c r="AE336" s="5"/>
      <c r="AF336" s="5"/>
      <c r="AP336" s="17"/>
      <c r="AQ336" s="8"/>
      <c r="AR336" s="8"/>
      <c r="CA336" s="18"/>
    </row>
    <row r="337" spans="19:79" s="4" customFormat="1" x14ac:dyDescent="0.35">
      <c r="S337" s="6"/>
      <c r="T337" s="6"/>
      <c r="AC337" s="5"/>
      <c r="AD337" s="8"/>
      <c r="AE337" s="5"/>
      <c r="AF337" s="5"/>
      <c r="AP337" s="17"/>
      <c r="AQ337" s="8"/>
      <c r="AR337" s="8"/>
      <c r="CA337" s="18"/>
    </row>
    <row r="338" spans="19:79" s="4" customFormat="1" x14ac:dyDescent="0.35">
      <c r="S338" s="6"/>
      <c r="T338" s="6"/>
      <c r="AC338" s="5"/>
      <c r="AD338" s="8"/>
      <c r="AE338" s="5"/>
      <c r="AF338" s="5"/>
      <c r="AP338" s="17"/>
      <c r="AQ338" s="8"/>
      <c r="AR338" s="8"/>
      <c r="CA338" s="18"/>
    </row>
    <row r="339" spans="19:79" s="4" customFormat="1" x14ac:dyDescent="0.35">
      <c r="S339" s="6"/>
      <c r="T339" s="6"/>
      <c r="AC339" s="5"/>
      <c r="AD339" s="8"/>
      <c r="AE339" s="5"/>
      <c r="AF339" s="5"/>
      <c r="AP339" s="17"/>
      <c r="AQ339" s="8"/>
      <c r="AR339" s="8"/>
      <c r="CA339" s="18"/>
    </row>
    <row r="340" spans="19:79" s="4" customFormat="1" x14ac:dyDescent="0.35">
      <c r="S340" s="6"/>
      <c r="T340" s="6"/>
      <c r="AC340" s="5"/>
      <c r="AD340" s="8"/>
      <c r="AE340" s="5"/>
      <c r="AF340" s="5"/>
      <c r="AP340" s="17"/>
      <c r="AQ340" s="8"/>
      <c r="AR340" s="8"/>
      <c r="CA340" s="18"/>
    </row>
    <row r="341" spans="19:79" s="4" customFormat="1" x14ac:dyDescent="0.35">
      <c r="S341" s="6"/>
      <c r="T341" s="6"/>
      <c r="AC341" s="5"/>
      <c r="AD341" s="8"/>
      <c r="AE341" s="5"/>
      <c r="AF341" s="5"/>
      <c r="AP341" s="17"/>
      <c r="AQ341" s="8"/>
      <c r="AR341" s="8"/>
      <c r="CA341" s="18"/>
    </row>
    <row r="342" spans="19:79" s="4" customFormat="1" x14ac:dyDescent="0.35">
      <c r="S342" s="6"/>
      <c r="T342" s="6"/>
      <c r="AC342" s="5"/>
      <c r="AD342" s="8"/>
      <c r="AE342" s="5"/>
      <c r="AF342" s="5"/>
      <c r="AP342" s="17"/>
      <c r="AQ342" s="8"/>
      <c r="AR342" s="8"/>
      <c r="CA342" s="18"/>
    </row>
    <row r="343" spans="19:79" s="4" customFormat="1" x14ac:dyDescent="0.35">
      <c r="S343" s="6"/>
      <c r="T343" s="6"/>
      <c r="AC343" s="5"/>
      <c r="AD343" s="8"/>
      <c r="AE343" s="5"/>
      <c r="AF343" s="5"/>
      <c r="AP343" s="17"/>
      <c r="AQ343" s="8"/>
      <c r="AR343" s="8"/>
      <c r="CA343" s="18"/>
    </row>
    <row r="344" spans="19:79" s="4" customFormat="1" x14ac:dyDescent="0.35">
      <c r="S344" s="6"/>
      <c r="T344" s="6"/>
      <c r="AC344" s="5"/>
      <c r="AD344" s="8"/>
      <c r="AE344" s="5"/>
      <c r="AF344" s="5"/>
      <c r="AP344" s="17"/>
      <c r="AQ344" s="8"/>
      <c r="AR344" s="8"/>
      <c r="CA344" s="18"/>
    </row>
    <row r="345" spans="19:79" s="4" customFormat="1" x14ac:dyDescent="0.35">
      <c r="S345" s="6"/>
      <c r="T345" s="6"/>
      <c r="AC345" s="5"/>
      <c r="AD345" s="8"/>
      <c r="AE345" s="5"/>
      <c r="AF345" s="5"/>
      <c r="AP345" s="17"/>
      <c r="AQ345" s="8"/>
      <c r="AR345" s="8"/>
      <c r="CA345" s="18"/>
    </row>
    <row r="346" spans="19:79" s="4" customFormat="1" x14ac:dyDescent="0.35">
      <c r="S346" s="6"/>
      <c r="T346" s="6"/>
      <c r="AC346" s="5"/>
      <c r="AD346" s="8"/>
      <c r="AE346" s="5"/>
      <c r="AF346" s="5"/>
      <c r="AP346" s="17"/>
      <c r="AQ346" s="8"/>
      <c r="AR346" s="8"/>
      <c r="CA346" s="18"/>
    </row>
    <row r="347" spans="19:79" s="4" customFormat="1" x14ac:dyDescent="0.35">
      <c r="S347" s="6"/>
      <c r="T347" s="6"/>
      <c r="AC347" s="5"/>
      <c r="AD347" s="8"/>
      <c r="AE347" s="5"/>
      <c r="AF347" s="5"/>
      <c r="AP347" s="17"/>
      <c r="AQ347" s="8"/>
      <c r="AR347" s="8"/>
      <c r="CA347" s="18"/>
    </row>
    <row r="348" spans="19:79" s="4" customFormat="1" x14ac:dyDescent="0.35">
      <c r="S348" s="6"/>
      <c r="T348" s="6"/>
      <c r="AC348" s="5"/>
      <c r="AD348" s="8"/>
      <c r="AE348" s="5"/>
      <c r="AF348" s="5"/>
      <c r="AP348" s="17"/>
      <c r="AQ348" s="8"/>
      <c r="AR348" s="8"/>
      <c r="CA348" s="18"/>
    </row>
    <row r="349" spans="19:79" s="4" customFormat="1" x14ac:dyDescent="0.35">
      <c r="S349" s="6"/>
      <c r="T349" s="6"/>
      <c r="AC349" s="5"/>
      <c r="AD349" s="8"/>
      <c r="AE349" s="5"/>
      <c r="AF349" s="5"/>
      <c r="AP349" s="17"/>
      <c r="AQ349" s="8"/>
      <c r="AR349" s="8"/>
      <c r="CA349" s="18"/>
    </row>
    <row r="350" spans="19:79" s="4" customFormat="1" x14ac:dyDescent="0.35">
      <c r="S350" s="6"/>
      <c r="T350" s="6"/>
      <c r="AC350" s="5"/>
      <c r="AD350" s="8"/>
      <c r="AE350" s="5"/>
      <c r="AF350" s="5"/>
      <c r="AP350" s="17"/>
      <c r="AQ350" s="8"/>
      <c r="AR350" s="8"/>
      <c r="CA350" s="18"/>
    </row>
    <row r="351" spans="19:79" s="4" customFormat="1" x14ac:dyDescent="0.35">
      <c r="S351" s="6"/>
      <c r="T351" s="6"/>
      <c r="AC351" s="5"/>
      <c r="AD351" s="8"/>
      <c r="AE351" s="5"/>
      <c r="AF351" s="5"/>
      <c r="AP351" s="17"/>
      <c r="AQ351" s="8"/>
      <c r="AR351" s="8"/>
      <c r="CA351" s="18"/>
    </row>
    <row r="352" spans="19:79" s="4" customFormat="1" x14ac:dyDescent="0.35">
      <c r="S352" s="6"/>
      <c r="T352" s="6"/>
      <c r="AC352" s="5"/>
      <c r="AD352" s="8"/>
      <c r="AE352" s="5"/>
      <c r="AF352" s="5"/>
      <c r="AP352" s="17"/>
      <c r="AQ352" s="8"/>
      <c r="AR352" s="8"/>
      <c r="CA352" s="18"/>
    </row>
    <row r="353" spans="19:79" s="4" customFormat="1" x14ac:dyDescent="0.35">
      <c r="S353" s="6"/>
      <c r="T353" s="6"/>
      <c r="AC353" s="5"/>
      <c r="AD353" s="8"/>
      <c r="AE353" s="5"/>
      <c r="AF353" s="5"/>
      <c r="AP353" s="17"/>
      <c r="AQ353" s="8"/>
      <c r="AR353" s="8"/>
      <c r="CA353" s="18"/>
    </row>
    <row r="354" spans="19:79" s="4" customFormat="1" x14ac:dyDescent="0.35">
      <c r="S354" s="6"/>
      <c r="T354" s="6"/>
      <c r="AC354" s="5"/>
      <c r="AD354" s="8"/>
      <c r="AE354" s="5"/>
      <c r="AF354" s="5"/>
      <c r="AP354" s="17"/>
      <c r="AQ354" s="8"/>
      <c r="AR354" s="8"/>
      <c r="CA354" s="18"/>
    </row>
    <row r="355" spans="19:79" s="4" customFormat="1" x14ac:dyDescent="0.35">
      <c r="S355" s="6"/>
      <c r="T355" s="6"/>
      <c r="AC355" s="5"/>
      <c r="AD355" s="8"/>
      <c r="AE355" s="5"/>
      <c r="AF355" s="5"/>
      <c r="AP355" s="17"/>
      <c r="AQ355" s="8"/>
      <c r="AR355" s="8"/>
      <c r="CA355" s="18"/>
    </row>
    <row r="356" spans="19:79" s="4" customFormat="1" x14ac:dyDescent="0.35">
      <c r="S356" s="6"/>
      <c r="T356" s="6"/>
      <c r="AC356" s="5"/>
      <c r="AD356" s="8"/>
      <c r="AE356" s="5"/>
      <c r="AF356" s="5"/>
      <c r="AP356" s="17"/>
      <c r="AQ356" s="8"/>
      <c r="AR356" s="8"/>
      <c r="CA356" s="18"/>
    </row>
    <row r="357" spans="19:79" s="4" customFormat="1" x14ac:dyDescent="0.35">
      <c r="S357" s="6"/>
      <c r="T357" s="6"/>
      <c r="AC357" s="5"/>
      <c r="AD357" s="8"/>
      <c r="AE357" s="5"/>
      <c r="AF357" s="5"/>
      <c r="AP357" s="17"/>
      <c r="AQ357" s="8"/>
      <c r="AR357" s="8"/>
      <c r="CA357" s="18"/>
    </row>
    <row r="358" spans="19:79" s="4" customFormat="1" x14ac:dyDescent="0.35">
      <c r="S358" s="6"/>
      <c r="T358" s="6"/>
      <c r="AC358" s="5"/>
      <c r="AD358" s="8"/>
      <c r="AE358" s="5"/>
      <c r="AF358" s="5"/>
      <c r="AP358" s="17"/>
      <c r="AQ358" s="8"/>
      <c r="AR358" s="8"/>
      <c r="CA358" s="18"/>
    </row>
    <row r="359" spans="19:79" s="4" customFormat="1" x14ac:dyDescent="0.35">
      <c r="S359" s="6"/>
      <c r="T359" s="6"/>
      <c r="AC359" s="5"/>
      <c r="AD359" s="8"/>
      <c r="AE359" s="5"/>
      <c r="AF359" s="5"/>
      <c r="AP359" s="17"/>
      <c r="AQ359" s="8"/>
      <c r="AR359" s="8"/>
      <c r="CA359" s="18"/>
    </row>
    <row r="360" spans="19:79" s="4" customFormat="1" x14ac:dyDescent="0.35">
      <c r="S360" s="6"/>
      <c r="T360" s="6"/>
      <c r="AC360" s="5"/>
      <c r="AD360" s="8"/>
      <c r="AE360" s="5"/>
      <c r="AF360" s="5"/>
      <c r="AP360" s="17"/>
      <c r="AQ360" s="8"/>
      <c r="AR360" s="8"/>
      <c r="CA360" s="18"/>
    </row>
    <row r="361" spans="19:79" s="4" customFormat="1" x14ac:dyDescent="0.35">
      <c r="S361" s="6"/>
      <c r="T361" s="6"/>
      <c r="AC361" s="5"/>
      <c r="AD361" s="8"/>
      <c r="AE361" s="5"/>
      <c r="AF361" s="5"/>
      <c r="AP361" s="17"/>
      <c r="AQ361" s="8"/>
      <c r="AR361" s="8"/>
      <c r="CA361" s="18"/>
    </row>
    <row r="362" spans="19:79" s="4" customFormat="1" x14ac:dyDescent="0.35">
      <c r="S362" s="6"/>
      <c r="T362" s="6"/>
      <c r="AC362" s="5"/>
      <c r="AD362" s="8"/>
      <c r="AE362" s="5"/>
      <c r="AF362" s="5"/>
      <c r="AP362" s="17"/>
      <c r="AQ362" s="8"/>
      <c r="AR362" s="8"/>
      <c r="CA362" s="18"/>
    </row>
    <row r="363" spans="19:79" s="4" customFormat="1" x14ac:dyDescent="0.35">
      <c r="S363" s="6"/>
      <c r="T363" s="6"/>
      <c r="AC363" s="5"/>
      <c r="AD363" s="8"/>
      <c r="AE363" s="5"/>
      <c r="AF363" s="5"/>
      <c r="AP363" s="17"/>
      <c r="AQ363" s="8"/>
      <c r="AR363" s="8"/>
      <c r="CA363" s="18"/>
    </row>
    <row r="364" spans="19:79" s="4" customFormat="1" x14ac:dyDescent="0.35">
      <c r="S364" s="6"/>
      <c r="T364" s="6"/>
      <c r="AC364" s="5"/>
      <c r="AD364" s="8"/>
      <c r="AE364" s="5"/>
      <c r="AF364" s="5"/>
      <c r="AP364" s="17"/>
      <c r="AQ364" s="8"/>
      <c r="AR364" s="8"/>
      <c r="CA364" s="18"/>
    </row>
    <row r="365" spans="19:79" s="4" customFormat="1" x14ac:dyDescent="0.35">
      <c r="S365" s="6"/>
      <c r="T365" s="6"/>
      <c r="AC365" s="5"/>
      <c r="AD365" s="8"/>
      <c r="AE365" s="5"/>
      <c r="AF365" s="5"/>
      <c r="AP365" s="17"/>
      <c r="AQ365" s="8"/>
      <c r="AR365" s="8"/>
      <c r="CA365" s="18"/>
    </row>
    <row r="366" spans="19:79" s="4" customFormat="1" x14ac:dyDescent="0.35">
      <c r="S366" s="6"/>
      <c r="T366" s="6"/>
      <c r="AC366" s="5"/>
      <c r="AD366" s="8"/>
      <c r="AE366" s="5"/>
      <c r="AF366" s="5"/>
      <c r="AP366" s="17"/>
      <c r="AQ366" s="8"/>
      <c r="AR366" s="8"/>
      <c r="CA366" s="18"/>
    </row>
    <row r="367" spans="19:79" s="4" customFormat="1" x14ac:dyDescent="0.35">
      <c r="S367" s="6"/>
      <c r="T367" s="6"/>
      <c r="AC367" s="5"/>
      <c r="AD367" s="8"/>
      <c r="AE367" s="5"/>
      <c r="AF367" s="5"/>
      <c r="AP367" s="17"/>
      <c r="AQ367" s="8"/>
      <c r="AR367" s="8"/>
      <c r="CA367" s="18"/>
    </row>
    <row r="368" spans="19:79" s="4" customFormat="1" x14ac:dyDescent="0.35">
      <c r="S368" s="6"/>
      <c r="T368" s="6"/>
      <c r="AC368" s="5"/>
      <c r="AD368" s="8"/>
      <c r="AE368" s="5"/>
      <c r="AF368" s="5"/>
      <c r="AP368" s="17"/>
      <c r="AQ368" s="8"/>
      <c r="AR368" s="8"/>
      <c r="CA368" s="18"/>
    </row>
    <row r="369" spans="19:79" s="4" customFormat="1" x14ac:dyDescent="0.35">
      <c r="S369" s="6"/>
      <c r="T369" s="6"/>
      <c r="AC369" s="5"/>
      <c r="AD369" s="8"/>
      <c r="AE369" s="5"/>
      <c r="AF369" s="5"/>
      <c r="AP369" s="17"/>
      <c r="AQ369" s="8"/>
      <c r="AR369" s="8"/>
      <c r="CA369" s="18"/>
    </row>
    <row r="370" spans="19:79" s="4" customFormat="1" x14ac:dyDescent="0.35">
      <c r="S370" s="6"/>
      <c r="T370" s="6"/>
      <c r="AC370" s="5"/>
      <c r="AD370" s="8"/>
      <c r="AE370" s="5"/>
      <c r="AF370" s="5"/>
      <c r="AP370" s="17"/>
      <c r="AQ370" s="8"/>
      <c r="AR370" s="8"/>
      <c r="CA370" s="18"/>
    </row>
    <row r="371" spans="19:79" s="4" customFormat="1" x14ac:dyDescent="0.35">
      <c r="S371" s="6"/>
      <c r="T371" s="6"/>
      <c r="AC371" s="5"/>
      <c r="AD371" s="8"/>
      <c r="AE371" s="5"/>
      <c r="AF371" s="5"/>
      <c r="AP371" s="17"/>
      <c r="AQ371" s="8"/>
      <c r="AR371" s="8"/>
      <c r="CA371" s="18"/>
    </row>
    <row r="372" spans="19:79" s="4" customFormat="1" x14ac:dyDescent="0.35">
      <c r="S372" s="6"/>
      <c r="T372" s="6"/>
      <c r="AC372" s="5"/>
      <c r="AD372" s="8"/>
      <c r="AE372" s="5"/>
      <c r="AF372" s="5"/>
      <c r="AP372" s="17"/>
      <c r="AQ372" s="8"/>
      <c r="AR372" s="8"/>
      <c r="CA372" s="18"/>
    </row>
    <row r="373" spans="19:79" s="4" customFormat="1" x14ac:dyDescent="0.35">
      <c r="S373" s="6"/>
      <c r="T373" s="6"/>
      <c r="AC373" s="5"/>
      <c r="AD373" s="8"/>
      <c r="AE373" s="5"/>
      <c r="AF373" s="5"/>
      <c r="AP373" s="17"/>
      <c r="AQ373" s="8"/>
      <c r="AR373" s="8"/>
      <c r="CA373" s="18"/>
    </row>
    <row r="374" spans="19:79" s="4" customFormat="1" x14ac:dyDescent="0.35">
      <c r="S374" s="6"/>
      <c r="T374" s="6"/>
      <c r="AC374" s="5"/>
      <c r="AD374" s="8"/>
      <c r="AE374" s="5"/>
      <c r="AF374" s="5"/>
      <c r="AP374" s="17"/>
      <c r="AQ374" s="8"/>
      <c r="AR374" s="8"/>
      <c r="CA374" s="18"/>
    </row>
    <row r="375" spans="19:79" s="4" customFormat="1" x14ac:dyDescent="0.35">
      <c r="S375" s="6"/>
      <c r="T375" s="6"/>
      <c r="AC375" s="5"/>
      <c r="AD375" s="8"/>
      <c r="AE375" s="5"/>
      <c r="AF375" s="5"/>
      <c r="AP375" s="17"/>
      <c r="AQ375" s="8"/>
      <c r="AR375" s="8"/>
      <c r="CA375" s="18"/>
    </row>
    <row r="376" spans="19:79" s="4" customFormat="1" x14ac:dyDescent="0.35">
      <c r="S376" s="6"/>
      <c r="T376" s="6"/>
      <c r="AC376" s="5"/>
      <c r="AD376" s="8"/>
      <c r="AE376" s="5"/>
      <c r="AF376" s="5"/>
      <c r="AP376" s="17"/>
      <c r="AQ376" s="8"/>
      <c r="AR376" s="8"/>
      <c r="CA376" s="18"/>
    </row>
    <row r="377" spans="19:79" s="4" customFormat="1" x14ac:dyDescent="0.35">
      <c r="S377" s="6"/>
      <c r="T377" s="6"/>
      <c r="AC377" s="5"/>
      <c r="AD377" s="8"/>
      <c r="AE377" s="5"/>
      <c r="AF377" s="5"/>
      <c r="AP377" s="17"/>
      <c r="AQ377" s="8"/>
      <c r="AR377" s="8"/>
      <c r="CA377" s="18"/>
    </row>
    <row r="378" spans="19:79" s="4" customFormat="1" x14ac:dyDescent="0.35">
      <c r="S378" s="6"/>
      <c r="T378" s="6"/>
      <c r="AC378" s="5"/>
      <c r="AD378" s="8"/>
      <c r="AE378" s="5"/>
      <c r="AF378" s="5"/>
      <c r="AP378" s="17"/>
      <c r="AQ378" s="8"/>
      <c r="AR378" s="8"/>
      <c r="CA378" s="18"/>
    </row>
    <row r="379" spans="19:79" s="4" customFormat="1" x14ac:dyDescent="0.35">
      <c r="S379" s="6"/>
      <c r="T379" s="6"/>
      <c r="AC379" s="5"/>
      <c r="AD379" s="8"/>
      <c r="AE379" s="5"/>
      <c r="AF379" s="5"/>
      <c r="AP379" s="17"/>
      <c r="AQ379" s="8"/>
      <c r="AR379" s="8"/>
      <c r="CA379" s="18"/>
    </row>
    <row r="380" spans="19:79" s="4" customFormat="1" x14ac:dyDescent="0.35">
      <c r="S380" s="6"/>
      <c r="T380" s="6"/>
      <c r="AC380" s="5"/>
      <c r="AD380" s="8"/>
      <c r="AE380" s="5"/>
      <c r="AF380" s="5"/>
      <c r="AP380" s="17"/>
      <c r="AQ380" s="8"/>
      <c r="AR380" s="8"/>
      <c r="CA380" s="18"/>
    </row>
    <row r="381" spans="19:79" s="4" customFormat="1" x14ac:dyDescent="0.35">
      <c r="S381" s="6"/>
      <c r="T381" s="6"/>
      <c r="AC381" s="5"/>
      <c r="AD381" s="8"/>
      <c r="AE381" s="5"/>
      <c r="AF381" s="5"/>
      <c r="AP381" s="17"/>
      <c r="AQ381" s="8"/>
      <c r="AR381" s="8"/>
      <c r="CA381" s="18"/>
    </row>
    <row r="382" spans="19:79" s="4" customFormat="1" x14ac:dyDescent="0.35">
      <c r="S382" s="6"/>
      <c r="T382" s="6"/>
      <c r="AC382" s="5"/>
      <c r="AD382" s="8"/>
      <c r="AE382" s="5"/>
      <c r="AF382" s="5"/>
      <c r="AP382" s="17"/>
      <c r="AQ382" s="8"/>
      <c r="AR382" s="8"/>
      <c r="CA382" s="18"/>
    </row>
    <row r="383" spans="19:79" s="4" customFormat="1" x14ac:dyDescent="0.35">
      <c r="S383" s="6"/>
      <c r="T383" s="6"/>
      <c r="AC383" s="5"/>
      <c r="AD383" s="8"/>
      <c r="AE383" s="5"/>
      <c r="AF383" s="5"/>
      <c r="AP383" s="17"/>
      <c r="AQ383" s="8"/>
      <c r="AR383" s="8"/>
      <c r="CA383" s="18"/>
    </row>
    <row r="384" spans="19:79" s="4" customFormat="1" x14ac:dyDescent="0.35">
      <c r="S384" s="6"/>
      <c r="T384" s="6"/>
      <c r="AC384" s="5"/>
      <c r="AD384" s="8"/>
      <c r="AE384" s="5"/>
      <c r="AF384" s="5"/>
      <c r="AP384" s="17"/>
      <c r="AQ384" s="8"/>
      <c r="AR384" s="8"/>
      <c r="CA384" s="18"/>
    </row>
    <row r="385" spans="19:79" s="4" customFormat="1" x14ac:dyDescent="0.35">
      <c r="S385" s="6"/>
      <c r="T385" s="6"/>
      <c r="AC385" s="5"/>
      <c r="AD385" s="8"/>
      <c r="AE385" s="5"/>
      <c r="AF385" s="5"/>
      <c r="AP385" s="17"/>
      <c r="AQ385" s="8"/>
      <c r="AR385" s="8"/>
      <c r="CA385" s="18"/>
    </row>
    <row r="386" spans="19:79" s="4" customFormat="1" x14ac:dyDescent="0.35">
      <c r="S386" s="6"/>
      <c r="T386" s="6"/>
      <c r="AC386" s="5"/>
      <c r="AD386" s="8"/>
      <c r="AE386" s="5"/>
      <c r="AF386" s="5"/>
      <c r="AP386" s="17"/>
      <c r="AQ386" s="8"/>
      <c r="AR386" s="8"/>
      <c r="CA386" s="18"/>
    </row>
    <row r="387" spans="19:79" s="4" customFormat="1" x14ac:dyDescent="0.35">
      <c r="S387" s="6"/>
      <c r="T387" s="6"/>
      <c r="AC387" s="5"/>
      <c r="AD387" s="8"/>
      <c r="AE387" s="5"/>
      <c r="AF387" s="5"/>
      <c r="AP387" s="17"/>
      <c r="AQ387" s="8"/>
      <c r="AR387" s="8"/>
      <c r="CA387" s="18"/>
    </row>
    <row r="388" spans="19:79" s="4" customFormat="1" x14ac:dyDescent="0.35">
      <c r="S388" s="6"/>
      <c r="T388" s="6"/>
      <c r="AC388" s="5"/>
      <c r="AD388" s="8"/>
      <c r="AE388" s="5"/>
      <c r="AF388" s="5"/>
      <c r="AP388" s="17"/>
      <c r="AQ388" s="8"/>
      <c r="AR388" s="8"/>
      <c r="CA388" s="18"/>
    </row>
    <row r="389" spans="19:79" s="4" customFormat="1" x14ac:dyDescent="0.35">
      <c r="S389" s="6"/>
      <c r="T389" s="6"/>
      <c r="AC389" s="5"/>
      <c r="AD389" s="8"/>
      <c r="AE389" s="5"/>
      <c r="AF389" s="5"/>
      <c r="AP389" s="17"/>
      <c r="AQ389" s="8"/>
      <c r="AR389" s="8"/>
      <c r="CA389" s="18"/>
    </row>
    <row r="390" spans="19:79" s="4" customFormat="1" x14ac:dyDescent="0.35">
      <c r="S390" s="6"/>
      <c r="T390" s="6"/>
      <c r="AC390" s="5"/>
      <c r="AD390" s="8"/>
      <c r="AE390" s="5"/>
      <c r="AF390" s="5"/>
      <c r="AP390" s="17"/>
      <c r="AQ390" s="8"/>
      <c r="AR390" s="8"/>
      <c r="CA390" s="18"/>
    </row>
    <row r="391" spans="19:79" s="4" customFormat="1" x14ac:dyDescent="0.35">
      <c r="S391" s="6"/>
      <c r="T391" s="6"/>
      <c r="AC391" s="5"/>
      <c r="AD391" s="8"/>
      <c r="AE391" s="5"/>
      <c r="AF391" s="5"/>
      <c r="AP391" s="17"/>
      <c r="AQ391" s="8"/>
      <c r="AR391" s="8"/>
      <c r="CA391" s="18"/>
    </row>
    <row r="392" spans="19:79" s="4" customFormat="1" x14ac:dyDescent="0.35">
      <c r="S392" s="6"/>
      <c r="T392" s="6"/>
      <c r="AC392" s="5"/>
      <c r="AD392" s="8"/>
      <c r="AE392" s="5"/>
      <c r="AF392" s="5"/>
      <c r="AP392" s="17"/>
      <c r="AQ392" s="8"/>
      <c r="AR392" s="8"/>
      <c r="CA392" s="18"/>
    </row>
    <row r="393" spans="19:79" s="4" customFormat="1" x14ac:dyDescent="0.35">
      <c r="S393" s="6"/>
      <c r="T393" s="6"/>
      <c r="AC393" s="5"/>
      <c r="AD393" s="8"/>
      <c r="AE393" s="5"/>
      <c r="AF393" s="5"/>
      <c r="AP393" s="17"/>
      <c r="AQ393" s="8"/>
      <c r="AR393" s="8"/>
      <c r="CA393" s="18"/>
    </row>
    <row r="394" spans="19:79" s="4" customFormat="1" x14ac:dyDescent="0.35">
      <c r="S394" s="6"/>
      <c r="T394" s="6"/>
      <c r="AC394" s="5"/>
      <c r="AD394" s="8"/>
      <c r="AE394" s="5"/>
      <c r="AF394" s="5"/>
      <c r="AP394" s="17"/>
      <c r="AQ394" s="8"/>
      <c r="AR394" s="8"/>
      <c r="CA394" s="18"/>
    </row>
    <row r="395" spans="19:79" s="4" customFormat="1" x14ac:dyDescent="0.35">
      <c r="S395" s="6"/>
      <c r="T395" s="6"/>
      <c r="AC395" s="5"/>
      <c r="AD395" s="8"/>
      <c r="AE395" s="5"/>
      <c r="AF395" s="5"/>
      <c r="AP395" s="17"/>
      <c r="AQ395" s="8"/>
      <c r="AR395" s="8"/>
      <c r="CA395" s="18"/>
    </row>
    <row r="396" spans="19:79" s="4" customFormat="1" x14ac:dyDescent="0.35">
      <c r="S396" s="6"/>
      <c r="T396" s="6"/>
      <c r="AC396" s="5"/>
      <c r="AD396" s="8"/>
      <c r="AE396" s="5"/>
      <c r="AF396" s="5"/>
      <c r="AP396" s="17"/>
      <c r="AQ396" s="8"/>
      <c r="AR396" s="8"/>
      <c r="CA396" s="18"/>
    </row>
    <row r="397" spans="19:79" s="4" customFormat="1" x14ac:dyDescent="0.35">
      <c r="S397" s="6"/>
      <c r="T397" s="6"/>
      <c r="AC397" s="5"/>
      <c r="AD397" s="8"/>
      <c r="AE397" s="5"/>
      <c r="AF397" s="5"/>
      <c r="AP397" s="17"/>
      <c r="AQ397" s="8"/>
      <c r="AR397" s="8"/>
      <c r="CA397" s="18"/>
    </row>
    <row r="398" spans="19:79" s="4" customFormat="1" x14ac:dyDescent="0.35">
      <c r="S398" s="6"/>
      <c r="T398" s="6"/>
      <c r="AC398" s="5"/>
      <c r="AD398" s="8"/>
      <c r="AE398" s="5"/>
      <c r="AF398" s="5"/>
      <c r="AP398" s="17"/>
      <c r="AQ398" s="8"/>
      <c r="AR398" s="8"/>
      <c r="CA398" s="18"/>
    </row>
    <row r="399" spans="19:79" s="4" customFormat="1" x14ac:dyDescent="0.35">
      <c r="S399" s="6"/>
      <c r="T399" s="6"/>
      <c r="AC399" s="5"/>
      <c r="AD399" s="8"/>
      <c r="AE399" s="5"/>
      <c r="AF399" s="5"/>
      <c r="AP399" s="17"/>
      <c r="AQ399" s="8"/>
      <c r="AR399" s="8"/>
      <c r="CA399" s="18"/>
    </row>
    <row r="400" spans="19:79" s="4" customFormat="1" x14ac:dyDescent="0.35">
      <c r="S400" s="6"/>
      <c r="T400" s="6"/>
      <c r="AC400" s="5"/>
      <c r="AD400" s="8"/>
      <c r="AE400" s="5"/>
      <c r="AF400" s="5"/>
      <c r="AP400" s="17"/>
      <c r="AQ400" s="8"/>
      <c r="AR400" s="8"/>
      <c r="CA400" s="18"/>
    </row>
    <row r="401" spans="19:79" s="4" customFormat="1" x14ac:dyDescent="0.35">
      <c r="S401" s="6"/>
      <c r="T401" s="6"/>
      <c r="AC401" s="5"/>
      <c r="AD401" s="8"/>
      <c r="AE401" s="5"/>
      <c r="AF401" s="5"/>
      <c r="AP401" s="17"/>
      <c r="AQ401" s="8"/>
      <c r="AR401" s="8"/>
      <c r="CA401" s="18"/>
    </row>
    <row r="402" spans="19:79" s="4" customFormat="1" x14ac:dyDescent="0.35">
      <c r="S402" s="6"/>
      <c r="T402" s="6"/>
      <c r="AC402" s="5"/>
      <c r="AD402" s="8"/>
      <c r="AE402" s="5"/>
      <c r="AF402" s="5"/>
      <c r="AP402" s="17"/>
      <c r="AQ402" s="8"/>
      <c r="AR402" s="8"/>
      <c r="CA402" s="18"/>
    </row>
    <row r="403" spans="19:79" s="4" customFormat="1" x14ac:dyDescent="0.35">
      <c r="S403" s="6"/>
      <c r="T403" s="6"/>
      <c r="AC403" s="5"/>
      <c r="AD403" s="8"/>
      <c r="AE403" s="5"/>
      <c r="AF403" s="5"/>
      <c r="AP403" s="17"/>
      <c r="AQ403" s="8"/>
      <c r="AR403" s="8"/>
      <c r="CA403" s="18"/>
    </row>
    <row r="404" spans="19:79" s="4" customFormat="1" x14ac:dyDescent="0.35">
      <c r="S404" s="6"/>
      <c r="T404" s="6"/>
      <c r="AC404" s="5"/>
      <c r="AD404" s="8"/>
      <c r="AE404" s="5"/>
      <c r="AF404" s="5"/>
      <c r="AP404" s="17"/>
      <c r="AQ404" s="8"/>
      <c r="AR404" s="8"/>
      <c r="CA404" s="18"/>
    </row>
    <row r="405" spans="19:79" s="4" customFormat="1" x14ac:dyDescent="0.35">
      <c r="S405" s="6"/>
      <c r="T405" s="6"/>
      <c r="AC405" s="5"/>
      <c r="AD405" s="8"/>
      <c r="AE405" s="5"/>
      <c r="AF405" s="5"/>
      <c r="AP405" s="17"/>
      <c r="AQ405" s="8"/>
      <c r="AR405" s="8"/>
      <c r="CA405" s="18"/>
    </row>
    <row r="406" spans="19:79" s="4" customFormat="1" x14ac:dyDescent="0.35">
      <c r="S406" s="6"/>
      <c r="T406" s="6"/>
      <c r="AC406" s="5"/>
      <c r="AD406" s="8"/>
      <c r="AE406" s="5"/>
      <c r="AF406" s="5"/>
      <c r="AP406" s="17"/>
      <c r="AQ406" s="8"/>
      <c r="AR406" s="8"/>
      <c r="CA406" s="18"/>
    </row>
    <row r="407" spans="19:79" s="4" customFormat="1" x14ac:dyDescent="0.35">
      <c r="S407" s="6"/>
      <c r="T407" s="6"/>
      <c r="AC407" s="5"/>
      <c r="AD407" s="8"/>
      <c r="AE407" s="5"/>
      <c r="AF407" s="5"/>
      <c r="AP407" s="17"/>
      <c r="AQ407" s="8"/>
      <c r="AR407" s="8"/>
      <c r="CA407" s="18"/>
    </row>
    <row r="408" spans="19:79" s="4" customFormat="1" x14ac:dyDescent="0.35">
      <c r="S408" s="6"/>
      <c r="T408" s="6"/>
      <c r="AC408" s="5"/>
      <c r="AD408" s="8"/>
      <c r="AE408" s="5"/>
      <c r="AF408" s="5"/>
      <c r="AP408" s="17"/>
      <c r="AQ408" s="8"/>
      <c r="AR408" s="8"/>
      <c r="CA408" s="18"/>
    </row>
    <row r="409" spans="19:79" s="4" customFormat="1" x14ac:dyDescent="0.35">
      <c r="S409" s="6"/>
      <c r="T409" s="6"/>
      <c r="AC409" s="5"/>
      <c r="AD409" s="8"/>
      <c r="AE409" s="5"/>
      <c r="AF409" s="5"/>
      <c r="AP409" s="17"/>
      <c r="AQ409" s="8"/>
      <c r="AR409" s="8"/>
      <c r="CA409" s="18"/>
    </row>
    <row r="410" spans="19:79" s="4" customFormat="1" x14ac:dyDescent="0.35">
      <c r="S410" s="6"/>
      <c r="T410" s="6"/>
      <c r="AC410" s="5"/>
      <c r="AD410" s="8"/>
      <c r="AE410" s="5"/>
      <c r="AF410" s="5"/>
      <c r="AP410" s="17"/>
      <c r="AQ410" s="8"/>
      <c r="AR410" s="8"/>
      <c r="CA410" s="18"/>
    </row>
    <row r="411" spans="19:79" s="4" customFormat="1" x14ac:dyDescent="0.35">
      <c r="S411" s="6"/>
      <c r="T411" s="6"/>
      <c r="AC411" s="5"/>
      <c r="AD411" s="8"/>
      <c r="AE411" s="5"/>
      <c r="AF411" s="5"/>
      <c r="AP411" s="17"/>
      <c r="AQ411" s="8"/>
      <c r="AR411" s="8"/>
      <c r="CA411" s="18"/>
    </row>
    <row r="412" spans="19:79" s="4" customFormat="1" x14ac:dyDescent="0.35">
      <c r="S412" s="6"/>
      <c r="T412" s="6"/>
      <c r="AC412" s="5"/>
      <c r="AD412" s="8"/>
      <c r="AE412" s="5"/>
      <c r="AF412" s="5"/>
      <c r="AP412" s="17"/>
      <c r="AQ412" s="8"/>
      <c r="AR412" s="8"/>
      <c r="CA412" s="18"/>
    </row>
    <row r="413" spans="19:79" s="4" customFormat="1" x14ac:dyDescent="0.35">
      <c r="S413" s="6"/>
      <c r="T413" s="6"/>
      <c r="AC413" s="5"/>
      <c r="AD413" s="8"/>
      <c r="AE413" s="5"/>
      <c r="AF413" s="5"/>
      <c r="AP413" s="17"/>
      <c r="AQ413" s="8"/>
      <c r="AR413" s="8"/>
      <c r="CA413" s="18"/>
    </row>
    <row r="414" spans="19:79" s="4" customFormat="1" x14ac:dyDescent="0.35">
      <c r="S414" s="6"/>
      <c r="T414" s="6"/>
      <c r="AC414" s="5"/>
      <c r="AD414" s="8"/>
      <c r="AE414" s="5"/>
      <c r="AF414" s="5"/>
      <c r="AP414" s="17"/>
      <c r="AQ414" s="8"/>
      <c r="AR414" s="8"/>
      <c r="CA414" s="18"/>
    </row>
    <row r="415" spans="19:79" s="4" customFormat="1" x14ac:dyDescent="0.35">
      <c r="S415" s="6"/>
      <c r="T415" s="6"/>
      <c r="AC415" s="5"/>
      <c r="AD415" s="8"/>
      <c r="AE415" s="5"/>
      <c r="AF415" s="5"/>
      <c r="AP415" s="17"/>
      <c r="AQ415" s="8"/>
      <c r="AR415" s="8"/>
      <c r="CA415" s="18"/>
    </row>
    <row r="416" spans="19:79" s="4" customFormat="1" x14ac:dyDescent="0.35">
      <c r="S416" s="6"/>
      <c r="T416" s="6"/>
      <c r="AC416" s="5"/>
      <c r="AD416" s="8"/>
      <c r="AE416" s="5"/>
      <c r="AF416" s="5"/>
      <c r="AP416" s="17"/>
      <c r="AQ416" s="8"/>
      <c r="AR416" s="8"/>
      <c r="CA416" s="18"/>
    </row>
    <row r="417" spans="19:79" s="4" customFormat="1" x14ac:dyDescent="0.35">
      <c r="S417" s="6"/>
      <c r="T417" s="6"/>
      <c r="AC417" s="5"/>
      <c r="AD417" s="8"/>
      <c r="AE417" s="5"/>
      <c r="AF417" s="5"/>
      <c r="AP417" s="17"/>
      <c r="AQ417" s="8"/>
      <c r="AR417" s="8"/>
      <c r="CA417" s="18"/>
    </row>
    <row r="418" spans="19:79" s="4" customFormat="1" x14ac:dyDescent="0.35">
      <c r="S418" s="6"/>
      <c r="T418" s="6"/>
      <c r="AC418" s="5"/>
      <c r="AD418" s="8"/>
      <c r="AE418" s="5"/>
      <c r="AF418" s="5"/>
      <c r="AP418" s="17"/>
      <c r="AQ418" s="8"/>
      <c r="AR418" s="8"/>
      <c r="CA418" s="18"/>
    </row>
    <row r="419" spans="19:79" s="4" customFormat="1" x14ac:dyDescent="0.35">
      <c r="S419" s="6"/>
      <c r="T419" s="6"/>
      <c r="AC419" s="5"/>
      <c r="AD419" s="8"/>
      <c r="AE419" s="5"/>
      <c r="AF419" s="5"/>
      <c r="AP419" s="17"/>
      <c r="AQ419" s="8"/>
      <c r="AR419" s="8"/>
      <c r="CA419" s="18"/>
    </row>
    <row r="420" spans="19:79" s="4" customFormat="1" x14ac:dyDescent="0.35">
      <c r="S420" s="6"/>
      <c r="T420" s="6"/>
      <c r="AC420" s="5"/>
      <c r="AD420" s="8"/>
      <c r="AE420" s="5"/>
      <c r="AF420" s="5"/>
      <c r="AP420" s="17"/>
      <c r="AQ420" s="8"/>
      <c r="AR420" s="8"/>
      <c r="CA420" s="18"/>
    </row>
    <row r="421" spans="19:79" s="4" customFormat="1" x14ac:dyDescent="0.35">
      <c r="S421" s="6"/>
      <c r="T421" s="6"/>
      <c r="AC421" s="5"/>
      <c r="AD421" s="8"/>
      <c r="AE421" s="5"/>
      <c r="AF421" s="5"/>
      <c r="AP421" s="17"/>
      <c r="AQ421" s="8"/>
      <c r="AR421" s="8"/>
      <c r="CA421" s="18"/>
    </row>
    <row r="422" spans="19:79" s="4" customFormat="1" x14ac:dyDescent="0.35">
      <c r="S422" s="6"/>
      <c r="T422" s="6"/>
      <c r="AC422" s="5"/>
      <c r="AD422" s="8"/>
      <c r="AE422" s="5"/>
      <c r="AF422" s="5"/>
      <c r="AP422" s="17"/>
      <c r="AQ422" s="8"/>
      <c r="AR422" s="8"/>
      <c r="CA422" s="18"/>
    </row>
    <row r="423" spans="19:79" s="4" customFormat="1" x14ac:dyDescent="0.35">
      <c r="S423" s="6"/>
      <c r="T423" s="6"/>
      <c r="AC423" s="5"/>
      <c r="AD423" s="8"/>
      <c r="AE423" s="5"/>
      <c r="AF423" s="5"/>
      <c r="AP423" s="17"/>
      <c r="AQ423" s="8"/>
      <c r="AR423" s="8"/>
      <c r="CA423" s="18"/>
    </row>
    <row r="424" spans="19:79" s="4" customFormat="1" x14ac:dyDescent="0.35">
      <c r="S424" s="6"/>
      <c r="T424" s="6"/>
      <c r="AC424" s="5"/>
      <c r="AD424" s="8"/>
      <c r="AE424" s="5"/>
      <c r="AF424" s="5"/>
      <c r="AP424" s="17"/>
      <c r="AQ424" s="8"/>
      <c r="AR424" s="8"/>
      <c r="CA424" s="18"/>
    </row>
    <row r="425" spans="19:79" s="4" customFormat="1" x14ac:dyDescent="0.35">
      <c r="S425" s="6"/>
      <c r="T425" s="6"/>
      <c r="AC425" s="5"/>
      <c r="AD425" s="8"/>
      <c r="AE425" s="5"/>
      <c r="AF425" s="5"/>
      <c r="AP425" s="17"/>
      <c r="AQ425" s="8"/>
      <c r="AR425" s="8"/>
      <c r="CA425" s="18"/>
    </row>
    <row r="426" spans="19:79" s="4" customFormat="1" x14ac:dyDescent="0.35">
      <c r="S426" s="6"/>
      <c r="T426" s="6"/>
      <c r="AC426" s="5"/>
      <c r="AD426" s="8"/>
      <c r="AE426" s="5"/>
      <c r="AF426" s="5"/>
      <c r="AP426" s="17"/>
      <c r="AQ426" s="8"/>
      <c r="AR426" s="8"/>
      <c r="CA426" s="18"/>
    </row>
    <row r="427" spans="19:79" s="4" customFormat="1" x14ac:dyDescent="0.35">
      <c r="S427" s="6"/>
      <c r="T427" s="6"/>
      <c r="AC427" s="5"/>
      <c r="AD427" s="8"/>
      <c r="AE427" s="5"/>
      <c r="AF427" s="5"/>
      <c r="AP427" s="17"/>
      <c r="AQ427" s="8"/>
      <c r="AR427" s="8"/>
      <c r="CA427" s="18"/>
    </row>
    <row r="428" spans="19:79" s="4" customFormat="1" x14ac:dyDescent="0.35">
      <c r="S428" s="6"/>
      <c r="T428" s="6"/>
      <c r="AC428" s="5"/>
      <c r="AD428" s="8"/>
      <c r="AE428" s="5"/>
      <c r="AF428" s="5"/>
      <c r="AP428" s="17"/>
      <c r="AQ428" s="8"/>
      <c r="AR428" s="8"/>
      <c r="CA428" s="18"/>
    </row>
    <row r="429" spans="19:79" s="4" customFormat="1" x14ac:dyDescent="0.35">
      <c r="S429" s="6"/>
      <c r="T429" s="6"/>
      <c r="AC429" s="5"/>
      <c r="AD429" s="8"/>
      <c r="AE429" s="5"/>
      <c r="AF429" s="5"/>
      <c r="AP429" s="17"/>
      <c r="AQ429" s="8"/>
      <c r="AR429" s="8"/>
      <c r="CA429" s="18"/>
    </row>
    <row r="430" spans="19:79" s="4" customFormat="1" x14ac:dyDescent="0.35">
      <c r="S430" s="6"/>
      <c r="T430" s="6"/>
      <c r="AC430" s="5"/>
      <c r="AD430" s="8"/>
      <c r="AE430" s="5"/>
      <c r="AF430" s="5"/>
      <c r="AP430" s="17"/>
      <c r="AQ430" s="8"/>
      <c r="AR430" s="8"/>
      <c r="CA430" s="18"/>
    </row>
    <row r="431" spans="19:79" s="4" customFormat="1" x14ac:dyDescent="0.35">
      <c r="S431" s="6"/>
      <c r="T431" s="6"/>
      <c r="AC431" s="5"/>
      <c r="AD431" s="8"/>
      <c r="AE431" s="5"/>
      <c r="AF431" s="5"/>
      <c r="AP431" s="17"/>
      <c r="AQ431" s="8"/>
      <c r="AR431" s="8"/>
      <c r="CA431" s="18"/>
    </row>
    <row r="432" spans="19:79" s="4" customFormat="1" x14ac:dyDescent="0.35">
      <c r="S432" s="6"/>
      <c r="T432" s="6"/>
      <c r="AC432" s="5"/>
      <c r="AD432" s="8"/>
      <c r="AE432" s="5"/>
      <c r="AF432" s="5"/>
      <c r="AP432" s="17"/>
      <c r="AQ432" s="8"/>
      <c r="AR432" s="8"/>
      <c r="CA432" s="18"/>
    </row>
    <row r="433" spans="19:79" s="4" customFormat="1" x14ac:dyDescent="0.35">
      <c r="S433" s="6"/>
      <c r="T433" s="6"/>
      <c r="AC433" s="5"/>
      <c r="AD433" s="8"/>
      <c r="AE433" s="5"/>
      <c r="AF433" s="5"/>
      <c r="AP433" s="17"/>
      <c r="AQ433" s="8"/>
      <c r="AR433" s="8"/>
      <c r="CA433" s="18"/>
    </row>
    <row r="434" spans="19:79" s="4" customFormat="1" x14ac:dyDescent="0.35">
      <c r="S434" s="6"/>
      <c r="T434" s="6"/>
      <c r="AC434" s="5"/>
      <c r="AD434" s="8"/>
      <c r="AE434" s="5"/>
      <c r="AF434" s="5"/>
      <c r="AP434" s="17"/>
      <c r="AQ434" s="8"/>
      <c r="AR434" s="8"/>
      <c r="CA434" s="18"/>
    </row>
    <row r="435" spans="19:79" s="4" customFormat="1" x14ac:dyDescent="0.35">
      <c r="S435" s="6"/>
      <c r="T435" s="6"/>
      <c r="AC435" s="5"/>
      <c r="AD435" s="8"/>
      <c r="AE435" s="5"/>
      <c r="AF435" s="5"/>
      <c r="AP435" s="17"/>
      <c r="AQ435" s="8"/>
      <c r="AR435" s="8"/>
      <c r="CA435" s="18"/>
    </row>
    <row r="436" spans="19:79" s="4" customFormat="1" x14ac:dyDescent="0.35">
      <c r="S436" s="6"/>
      <c r="T436" s="6"/>
      <c r="AC436" s="5"/>
      <c r="AD436" s="8"/>
      <c r="AE436" s="5"/>
      <c r="AF436" s="5"/>
      <c r="AP436" s="17"/>
      <c r="AQ436" s="8"/>
      <c r="AR436" s="8"/>
      <c r="CA436" s="18"/>
    </row>
    <row r="437" spans="19:79" s="4" customFormat="1" x14ac:dyDescent="0.35">
      <c r="S437" s="6"/>
      <c r="T437" s="6"/>
      <c r="AC437" s="5"/>
      <c r="AD437" s="8"/>
      <c r="AE437" s="5"/>
      <c r="AF437" s="5"/>
      <c r="AP437" s="17"/>
      <c r="AQ437" s="8"/>
      <c r="AR437" s="8"/>
      <c r="CA437" s="18"/>
    </row>
    <row r="438" spans="19:79" s="4" customFormat="1" x14ac:dyDescent="0.35">
      <c r="S438" s="6"/>
      <c r="T438" s="6"/>
      <c r="AC438" s="5"/>
      <c r="AD438" s="8"/>
      <c r="AE438" s="5"/>
      <c r="AF438" s="5"/>
      <c r="AP438" s="17"/>
      <c r="AQ438" s="8"/>
      <c r="AR438" s="8"/>
      <c r="CA438" s="18"/>
    </row>
    <row r="439" spans="19:79" s="4" customFormat="1" x14ac:dyDescent="0.35">
      <c r="S439" s="6"/>
      <c r="T439" s="6"/>
      <c r="AC439" s="5"/>
      <c r="AD439" s="8"/>
      <c r="AE439" s="5"/>
      <c r="AF439" s="5"/>
      <c r="AP439" s="17"/>
      <c r="AQ439" s="8"/>
      <c r="AR439" s="8"/>
      <c r="CA439" s="18"/>
    </row>
    <row r="440" spans="19:79" s="4" customFormat="1" x14ac:dyDescent="0.35">
      <c r="S440" s="6"/>
      <c r="T440" s="6"/>
      <c r="AC440" s="5"/>
      <c r="AD440" s="8"/>
      <c r="AE440" s="5"/>
      <c r="AF440" s="5"/>
      <c r="AP440" s="17"/>
      <c r="AQ440" s="8"/>
      <c r="AR440" s="8"/>
      <c r="CA440" s="18"/>
    </row>
    <row r="441" spans="19:79" s="4" customFormat="1" x14ac:dyDescent="0.35">
      <c r="S441" s="6"/>
      <c r="T441" s="6"/>
      <c r="AC441" s="5"/>
      <c r="AD441" s="8"/>
      <c r="AE441" s="5"/>
      <c r="AF441" s="5"/>
      <c r="AP441" s="17"/>
      <c r="AQ441" s="8"/>
      <c r="AR441" s="8"/>
      <c r="CA441" s="18"/>
    </row>
    <row r="442" spans="19:79" s="4" customFormat="1" x14ac:dyDescent="0.35">
      <c r="S442" s="6"/>
      <c r="T442" s="6"/>
      <c r="AC442" s="5"/>
      <c r="AD442" s="8"/>
      <c r="AE442" s="5"/>
      <c r="AF442" s="5"/>
      <c r="AP442" s="17"/>
      <c r="AQ442" s="8"/>
      <c r="AR442" s="8"/>
      <c r="CA442" s="18"/>
    </row>
    <row r="443" spans="19:79" s="4" customFormat="1" x14ac:dyDescent="0.35">
      <c r="S443" s="6"/>
      <c r="T443" s="6"/>
      <c r="AC443" s="5"/>
      <c r="AD443" s="8"/>
      <c r="AE443" s="5"/>
      <c r="AF443" s="5"/>
      <c r="AP443" s="17"/>
      <c r="AQ443" s="8"/>
      <c r="AR443" s="8"/>
      <c r="CA443" s="18"/>
    </row>
    <row r="444" spans="19:79" s="4" customFormat="1" x14ac:dyDescent="0.35">
      <c r="S444" s="6"/>
      <c r="T444" s="6"/>
      <c r="AC444" s="5"/>
      <c r="AD444" s="8"/>
      <c r="AE444" s="5"/>
      <c r="AF444" s="5"/>
      <c r="AP444" s="17"/>
      <c r="AQ444" s="8"/>
      <c r="AR444" s="8"/>
      <c r="CA444" s="18"/>
    </row>
    <row r="445" spans="19:79" s="4" customFormat="1" x14ac:dyDescent="0.35">
      <c r="S445" s="6"/>
      <c r="T445" s="6"/>
      <c r="AC445" s="5"/>
      <c r="AD445" s="8"/>
      <c r="AE445" s="5"/>
      <c r="AF445" s="5"/>
      <c r="AP445" s="17"/>
      <c r="AQ445" s="8"/>
      <c r="AR445" s="8"/>
      <c r="CA445" s="18"/>
    </row>
    <row r="446" spans="19:79" s="4" customFormat="1" x14ac:dyDescent="0.35">
      <c r="S446" s="6"/>
      <c r="T446" s="6"/>
      <c r="AC446" s="5"/>
      <c r="AD446" s="8"/>
      <c r="AE446" s="5"/>
      <c r="AF446" s="5"/>
      <c r="AP446" s="17"/>
      <c r="AQ446" s="8"/>
      <c r="AR446" s="8"/>
      <c r="CA446" s="18"/>
    </row>
    <row r="447" spans="19:79" s="4" customFormat="1" x14ac:dyDescent="0.35">
      <c r="S447" s="6"/>
      <c r="T447" s="6"/>
      <c r="AC447" s="5"/>
      <c r="AD447" s="8"/>
      <c r="AE447" s="5"/>
      <c r="AF447" s="5"/>
      <c r="AP447" s="17"/>
      <c r="AQ447" s="8"/>
      <c r="AR447" s="8"/>
      <c r="CA447" s="18"/>
    </row>
    <row r="448" spans="19:79" s="4" customFormat="1" x14ac:dyDescent="0.35">
      <c r="S448" s="6"/>
      <c r="T448" s="6"/>
      <c r="AC448" s="5"/>
      <c r="AD448" s="8"/>
      <c r="AE448" s="5"/>
      <c r="AF448" s="5"/>
      <c r="AP448" s="17"/>
      <c r="AQ448" s="8"/>
      <c r="AR448" s="8"/>
      <c r="CA448" s="18"/>
    </row>
    <row r="449" spans="19:79" s="4" customFormat="1" x14ac:dyDescent="0.35">
      <c r="S449" s="6"/>
      <c r="T449" s="6"/>
      <c r="AC449" s="5"/>
      <c r="AD449" s="8"/>
      <c r="AE449" s="5"/>
      <c r="AF449" s="5"/>
      <c r="AP449" s="17"/>
      <c r="AQ449" s="8"/>
      <c r="AR449" s="8"/>
      <c r="CA449" s="18"/>
    </row>
    <row r="450" spans="19:79" s="4" customFormat="1" x14ac:dyDescent="0.35">
      <c r="S450" s="6"/>
      <c r="T450" s="6"/>
      <c r="AC450" s="5"/>
      <c r="AD450" s="8"/>
      <c r="AE450" s="5"/>
      <c r="AF450" s="5"/>
      <c r="AP450" s="17"/>
      <c r="AQ450" s="8"/>
      <c r="AR450" s="8"/>
      <c r="CA450" s="18"/>
    </row>
    <row r="451" spans="19:79" s="4" customFormat="1" x14ac:dyDescent="0.35">
      <c r="S451" s="6"/>
      <c r="T451" s="6"/>
      <c r="AC451" s="5"/>
      <c r="AD451" s="8"/>
      <c r="AE451" s="5"/>
      <c r="AF451" s="5"/>
      <c r="AP451" s="17"/>
      <c r="AQ451" s="8"/>
      <c r="AR451" s="8"/>
      <c r="CA451" s="18"/>
    </row>
    <row r="452" spans="19:79" s="4" customFormat="1" x14ac:dyDescent="0.35">
      <c r="S452" s="6"/>
      <c r="T452" s="6"/>
      <c r="AC452" s="5"/>
      <c r="AD452" s="8"/>
      <c r="AE452" s="5"/>
      <c r="AF452" s="5"/>
      <c r="AP452" s="17"/>
      <c r="AQ452" s="8"/>
      <c r="AR452" s="8"/>
      <c r="CA452" s="18"/>
    </row>
    <row r="453" spans="19:79" s="4" customFormat="1" x14ac:dyDescent="0.35">
      <c r="S453" s="6"/>
      <c r="T453" s="6"/>
      <c r="AC453" s="5"/>
      <c r="AD453" s="8"/>
      <c r="AE453" s="5"/>
      <c r="AF453" s="5"/>
      <c r="AP453" s="17"/>
      <c r="AQ453" s="8"/>
      <c r="AR453" s="8"/>
      <c r="CA453" s="18"/>
    </row>
    <row r="454" spans="19:79" s="4" customFormat="1" x14ac:dyDescent="0.35">
      <c r="S454" s="6"/>
      <c r="T454" s="6"/>
      <c r="AC454" s="5"/>
      <c r="AD454" s="8"/>
      <c r="AE454" s="5"/>
      <c r="AF454" s="5"/>
      <c r="AP454" s="17"/>
      <c r="AQ454" s="8"/>
      <c r="AR454" s="8"/>
      <c r="CA454" s="18"/>
    </row>
    <row r="455" spans="19:79" s="4" customFormat="1" x14ac:dyDescent="0.35">
      <c r="S455" s="6"/>
      <c r="T455" s="6"/>
      <c r="AC455" s="5"/>
      <c r="AD455" s="8"/>
      <c r="AE455" s="5"/>
      <c r="AF455" s="5"/>
      <c r="AP455" s="17"/>
      <c r="AQ455" s="8"/>
      <c r="AR455" s="8"/>
      <c r="CA455" s="18"/>
    </row>
    <row r="456" spans="19:79" s="4" customFormat="1" x14ac:dyDescent="0.35">
      <c r="S456" s="6"/>
      <c r="T456" s="6"/>
      <c r="AC456" s="5"/>
      <c r="AD456" s="8"/>
      <c r="AE456" s="5"/>
      <c r="AF456" s="5"/>
      <c r="AP456" s="17"/>
      <c r="AQ456" s="8"/>
      <c r="AR456" s="8"/>
      <c r="CA456" s="18"/>
    </row>
    <row r="457" spans="19:79" s="4" customFormat="1" x14ac:dyDescent="0.35">
      <c r="S457" s="6"/>
      <c r="T457" s="6"/>
      <c r="AC457" s="5"/>
      <c r="AD457" s="8"/>
      <c r="AE457" s="5"/>
      <c r="AF457" s="5"/>
      <c r="AP457" s="17"/>
      <c r="AQ457" s="8"/>
      <c r="AR457" s="8"/>
      <c r="CA457" s="18"/>
    </row>
    <row r="458" spans="19:79" s="4" customFormat="1" x14ac:dyDescent="0.35">
      <c r="S458" s="6"/>
      <c r="T458" s="6"/>
      <c r="AC458" s="5"/>
      <c r="AD458" s="8"/>
      <c r="AE458" s="5"/>
      <c r="AF458" s="5"/>
      <c r="AP458" s="17"/>
      <c r="AQ458" s="8"/>
      <c r="AR458" s="8"/>
      <c r="CA458" s="18"/>
    </row>
    <row r="459" spans="19:79" s="4" customFormat="1" x14ac:dyDescent="0.35">
      <c r="S459" s="6"/>
      <c r="T459" s="6"/>
      <c r="AC459" s="5"/>
      <c r="AD459" s="8"/>
      <c r="AE459" s="5"/>
      <c r="AF459" s="5"/>
      <c r="AP459" s="17"/>
      <c r="AQ459" s="8"/>
      <c r="AR459" s="8"/>
      <c r="CA459" s="18"/>
    </row>
    <row r="460" spans="19:79" s="4" customFormat="1" x14ac:dyDescent="0.35">
      <c r="S460" s="6"/>
      <c r="T460" s="6"/>
      <c r="AC460" s="5"/>
      <c r="AD460" s="8"/>
      <c r="AE460" s="5"/>
      <c r="AF460" s="5"/>
      <c r="AP460" s="17"/>
      <c r="AQ460" s="8"/>
      <c r="AR460" s="8"/>
      <c r="CA460" s="18"/>
    </row>
    <row r="461" spans="19:79" s="4" customFormat="1" x14ac:dyDescent="0.35">
      <c r="S461" s="6"/>
      <c r="T461" s="6"/>
      <c r="AC461" s="5"/>
      <c r="AD461" s="8"/>
      <c r="AE461" s="5"/>
      <c r="AF461" s="5"/>
      <c r="AP461" s="17"/>
      <c r="AQ461" s="8"/>
      <c r="AR461" s="8"/>
      <c r="CA461" s="18"/>
    </row>
    <row r="462" spans="19:79" s="4" customFormat="1" x14ac:dyDescent="0.35">
      <c r="S462" s="6"/>
      <c r="T462" s="6"/>
      <c r="AC462" s="5"/>
      <c r="AD462" s="8"/>
      <c r="AE462" s="5"/>
      <c r="AF462" s="5"/>
      <c r="AP462" s="17"/>
      <c r="AQ462" s="8"/>
      <c r="AR462" s="8"/>
      <c r="CA462" s="18"/>
    </row>
    <row r="463" spans="19:79" s="4" customFormat="1" x14ac:dyDescent="0.35">
      <c r="S463" s="6"/>
      <c r="T463" s="6"/>
      <c r="AC463" s="5"/>
      <c r="AD463" s="8"/>
      <c r="AE463" s="5"/>
      <c r="AF463" s="5"/>
      <c r="AP463" s="17"/>
      <c r="AQ463" s="8"/>
      <c r="AR463" s="8"/>
      <c r="CA463" s="18"/>
    </row>
    <row r="464" spans="19:79" s="4" customFormat="1" x14ac:dyDescent="0.35">
      <c r="S464" s="6"/>
      <c r="T464" s="6"/>
      <c r="AC464" s="5"/>
      <c r="AD464" s="8"/>
      <c r="AE464" s="5"/>
      <c r="AF464" s="5"/>
      <c r="AP464" s="17"/>
      <c r="AQ464" s="8"/>
      <c r="AR464" s="8"/>
      <c r="CA464" s="18"/>
    </row>
    <row r="465" spans="19:79" s="4" customFormat="1" x14ac:dyDescent="0.35">
      <c r="S465" s="6"/>
      <c r="T465" s="6"/>
      <c r="AC465" s="5"/>
      <c r="AD465" s="8"/>
      <c r="AE465" s="5"/>
      <c r="AF465" s="5"/>
      <c r="AP465" s="17"/>
      <c r="AQ465" s="8"/>
      <c r="AR465" s="8"/>
      <c r="CA465" s="18"/>
    </row>
    <row r="466" spans="19:79" s="4" customFormat="1" x14ac:dyDescent="0.35">
      <c r="S466" s="6"/>
      <c r="T466" s="6"/>
      <c r="AC466" s="5"/>
      <c r="AD466" s="8"/>
      <c r="AE466" s="5"/>
      <c r="AF466" s="5"/>
      <c r="AP466" s="17"/>
      <c r="AQ466" s="8"/>
      <c r="AR466" s="8"/>
      <c r="CA466" s="18"/>
    </row>
    <row r="467" spans="19:79" s="4" customFormat="1" x14ac:dyDescent="0.35">
      <c r="S467" s="6"/>
      <c r="T467" s="6"/>
      <c r="AC467" s="5"/>
      <c r="AD467" s="8"/>
      <c r="AE467" s="5"/>
      <c r="AF467" s="5"/>
      <c r="AP467" s="17"/>
      <c r="AQ467" s="8"/>
      <c r="AR467" s="8"/>
      <c r="CA467" s="18"/>
    </row>
    <row r="468" spans="19:79" s="4" customFormat="1" x14ac:dyDescent="0.35">
      <c r="S468" s="6"/>
      <c r="T468" s="6"/>
      <c r="AC468" s="5"/>
      <c r="AD468" s="8"/>
      <c r="AE468" s="5"/>
      <c r="AF468" s="5"/>
      <c r="AP468" s="17"/>
      <c r="AQ468" s="8"/>
      <c r="AR468" s="8"/>
      <c r="CA468" s="18"/>
    </row>
    <row r="469" spans="19:79" s="4" customFormat="1" x14ac:dyDescent="0.35">
      <c r="S469" s="6"/>
      <c r="T469" s="6"/>
      <c r="AC469" s="5"/>
      <c r="AD469" s="8"/>
      <c r="AE469" s="5"/>
      <c r="AF469" s="5"/>
      <c r="AP469" s="17"/>
      <c r="AQ469" s="8"/>
      <c r="AR469" s="8"/>
      <c r="CA469" s="18"/>
    </row>
    <row r="470" spans="19:79" s="4" customFormat="1" x14ac:dyDescent="0.35">
      <c r="S470" s="6"/>
      <c r="T470" s="6"/>
      <c r="AC470" s="5"/>
      <c r="AD470" s="8"/>
      <c r="AE470" s="5"/>
      <c r="AF470" s="5"/>
      <c r="AP470" s="17"/>
      <c r="AQ470" s="8"/>
      <c r="AR470" s="8"/>
      <c r="CA470" s="18"/>
    </row>
    <row r="471" spans="19:79" s="4" customFormat="1" x14ac:dyDescent="0.35">
      <c r="S471" s="6"/>
      <c r="T471" s="6"/>
      <c r="AC471" s="5"/>
      <c r="AD471" s="8"/>
      <c r="AE471" s="5"/>
      <c r="AF471" s="5"/>
      <c r="AP471" s="17"/>
      <c r="AQ471" s="8"/>
      <c r="AR471" s="8"/>
      <c r="CA471" s="18"/>
    </row>
    <row r="472" spans="19:79" s="4" customFormat="1" x14ac:dyDescent="0.35">
      <c r="S472" s="6"/>
      <c r="T472" s="6"/>
      <c r="AC472" s="5"/>
      <c r="AD472" s="8"/>
      <c r="AE472" s="5"/>
      <c r="AF472" s="5"/>
      <c r="AP472" s="17"/>
      <c r="AQ472" s="8"/>
      <c r="AR472" s="8"/>
      <c r="CA472" s="18"/>
    </row>
    <row r="473" spans="19:79" s="4" customFormat="1" x14ac:dyDescent="0.35">
      <c r="S473" s="6"/>
      <c r="T473" s="6"/>
      <c r="AC473" s="5"/>
      <c r="AD473" s="8"/>
      <c r="AE473" s="5"/>
      <c r="AF473" s="5"/>
      <c r="AP473" s="17"/>
      <c r="AQ473" s="8"/>
      <c r="AR473" s="8"/>
      <c r="CA473" s="18"/>
    </row>
    <row r="474" spans="19:79" s="4" customFormat="1" x14ac:dyDescent="0.35">
      <c r="S474" s="6"/>
      <c r="T474" s="6"/>
      <c r="AC474" s="5"/>
      <c r="AD474" s="8"/>
      <c r="AE474" s="5"/>
      <c r="AF474" s="5"/>
      <c r="AP474" s="17"/>
      <c r="AQ474" s="8"/>
      <c r="AR474" s="8"/>
      <c r="CA474" s="18"/>
    </row>
    <row r="475" spans="19:79" s="4" customFormat="1" x14ac:dyDescent="0.35">
      <c r="S475" s="6"/>
      <c r="T475" s="6"/>
      <c r="AC475" s="5"/>
      <c r="AD475" s="8"/>
      <c r="AE475" s="5"/>
      <c r="AF475" s="5"/>
      <c r="AP475" s="17"/>
      <c r="AQ475" s="8"/>
      <c r="AR475" s="8"/>
      <c r="CA475" s="18"/>
    </row>
    <row r="476" spans="19:79" s="4" customFormat="1" x14ac:dyDescent="0.35">
      <c r="S476" s="6"/>
      <c r="T476" s="6"/>
      <c r="AC476" s="5"/>
      <c r="AD476" s="8"/>
      <c r="AE476" s="5"/>
      <c r="AF476" s="5"/>
      <c r="AP476" s="17"/>
      <c r="AQ476" s="8"/>
      <c r="AR476" s="8"/>
      <c r="CA476" s="18"/>
    </row>
    <row r="477" spans="19:79" s="4" customFormat="1" x14ac:dyDescent="0.35">
      <c r="S477" s="6"/>
      <c r="T477" s="6"/>
      <c r="AC477" s="5"/>
      <c r="AD477" s="8"/>
      <c r="AE477" s="5"/>
      <c r="AF477" s="5"/>
      <c r="AP477" s="17"/>
      <c r="AQ477" s="8"/>
      <c r="AR477" s="8"/>
      <c r="CA477" s="18"/>
    </row>
    <row r="478" spans="19:79" s="4" customFormat="1" x14ac:dyDescent="0.35">
      <c r="S478" s="6"/>
      <c r="T478" s="6"/>
      <c r="AC478" s="5"/>
      <c r="AD478" s="8"/>
      <c r="AE478" s="5"/>
      <c r="AF478" s="5"/>
      <c r="AP478" s="17"/>
      <c r="AQ478" s="8"/>
      <c r="AR478" s="8"/>
      <c r="CA478" s="18"/>
    </row>
    <row r="479" spans="19:79" s="4" customFormat="1" x14ac:dyDescent="0.35">
      <c r="S479" s="6"/>
      <c r="T479" s="6"/>
      <c r="AC479" s="5"/>
      <c r="AD479" s="8"/>
      <c r="AE479" s="5"/>
      <c r="AF479" s="5"/>
      <c r="AP479" s="17"/>
      <c r="AQ479" s="8"/>
      <c r="AR479" s="8"/>
      <c r="CA479" s="18"/>
    </row>
    <row r="480" spans="19:79" s="4" customFormat="1" x14ac:dyDescent="0.35">
      <c r="S480" s="6"/>
      <c r="T480" s="6"/>
      <c r="AC480" s="5"/>
      <c r="AD480" s="8"/>
      <c r="AE480" s="5"/>
      <c r="AF480" s="5"/>
      <c r="AP480" s="17"/>
      <c r="AQ480" s="8"/>
      <c r="AR480" s="8"/>
      <c r="CA480" s="18"/>
    </row>
    <row r="481" spans="19:79" s="4" customFormat="1" x14ac:dyDescent="0.35">
      <c r="S481" s="6"/>
      <c r="T481" s="6"/>
      <c r="AC481" s="5"/>
      <c r="AD481" s="8"/>
      <c r="AE481" s="5"/>
      <c r="AF481" s="5"/>
      <c r="AP481" s="17"/>
      <c r="AQ481" s="8"/>
      <c r="AR481" s="8"/>
      <c r="CA481" s="18"/>
    </row>
    <row r="482" spans="19:79" s="4" customFormat="1" x14ac:dyDescent="0.35">
      <c r="S482" s="6"/>
      <c r="T482" s="6"/>
      <c r="AC482" s="5"/>
      <c r="AD482" s="8"/>
      <c r="AE482" s="5"/>
      <c r="AF482" s="5"/>
      <c r="AP482" s="17"/>
      <c r="AQ482" s="8"/>
      <c r="AR482" s="8"/>
      <c r="CA482" s="18"/>
    </row>
    <row r="483" spans="19:79" s="4" customFormat="1" x14ac:dyDescent="0.35">
      <c r="S483" s="6"/>
      <c r="T483" s="6"/>
      <c r="AC483" s="5"/>
      <c r="AD483" s="8"/>
      <c r="AE483" s="5"/>
      <c r="AF483" s="5"/>
      <c r="AP483" s="17"/>
      <c r="AQ483" s="8"/>
      <c r="AR483" s="8"/>
      <c r="CA483" s="18"/>
    </row>
    <row r="484" spans="19:79" s="4" customFormat="1" x14ac:dyDescent="0.35">
      <c r="S484" s="6"/>
      <c r="T484" s="6"/>
      <c r="AC484" s="5"/>
      <c r="AD484" s="8"/>
      <c r="AE484" s="5"/>
      <c r="AF484" s="5"/>
      <c r="AP484" s="17"/>
      <c r="AQ484" s="8"/>
      <c r="AR484" s="8"/>
      <c r="CA484" s="18"/>
    </row>
    <row r="485" spans="19:79" s="4" customFormat="1" x14ac:dyDescent="0.35">
      <c r="S485" s="6"/>
      <c r="T485" s="6"/>
      <c r="AC485" s="5"/>
      <c r="AD485" s="8"/>
      <c r="AE485" s="5"/>
      <c r="AF485" s="5"/>
      <c r="AP485" s="17"/>
      <c r="AQ485" s="8"/>
      <c r="AR485" s="8"/>
      <c r="CA485" s="18"/>
    </row>
    <row r="486" spans="19:79" s="4" customFormat="1" x14ac:dyDescent="0.35">
      <c r="S486" s="6"/>
      <c r="T486" s="6"/>
      <c r="AC486" s="5"/>
      <c r="AD486" s="8"/>
      <c r="AE486" s="5"/>
      <c r="AF486" s="5"/>
      <c r="AP486" s="17"/>
      <c r="AQ486" s="8"/>
      <c r="AR486" s="8"/>
      <c r="CA486" s="18"/>
    </row>
    <row r="487" spans="19:79" s="4" customFormat="1" x14ac:dyDescent="0.35">
      <c r="S487" s="6"/>
      <c r="T487" s="6"/>
      <c r="AC487" s="5"/>
      <c r="AD487" s="8"/>
      <c r="AE487" s="5"/>
      <c r="AF487" s="5"/>
      <c r="AP487" s="17"/>
      <c r="AQ487" s="8"/>
      <c r="AR487" s="8"/>
      <c r="CA487" s="18"/>
    </row>
    <row r="488" spans="19:79" s="4" customFormat="1" x14ac:dyDescent="0.35">
      <c r="S488" s="6"/>
      <c r="T488" s="6"/>
      <c r="AC488" s="5"/>
      <c r="AD488" s="8"/>
      <c r="AE488" s="5"/>
      <c r="AF488" s="5"/>
      <c r="AP488" s="17"/>
      <c r="AQ488" s="8"/>
      <c r="AR488" s="8"/>
      <c r="CA488" s="18"/>
    </row>
    <row r="489" spans="19:79" s="4" customFormat="1" x14ac:dyDescent="0.35">
      <c r="S489" s="6"/>
      <c r="T489" s="6"/>
      <c r="AC489" s="5"/>
      <c r="AD489" s="8"/>
      <c r="AE489" s="5"/>
      <c r="AF489" s="5"/>
      <c r="AP489" s="17"/>
      <c r="AQ489" s="8"/>
      <c r="AR489" s="8"/>
      <c r="CA489" s="18"/>
    </row>
    <row r="490" spans="19:79" s="4" customFormat="1" x14ac:dyDescent="0.35">
      <c r="S490" s="6"/>
      <c r="T490" s="6"/>
      <c r="AC490" s="5"/>
      <c r="AD490" s="8"/>
      <c r="AE490" s="5"/>
      <c r="AF490" s="5"/>
      <c r="AP490" s="17"/>
      <c r="AQ490" s="8"/>
      <c r="AR490" s="8"/>
      <c r="CA490" s="18"/>
    </row>
    <row r="491" spans="19:79" s="4" customFormat="1" x14ac:dyDescent="0.35">
      <c r="S491" s="6"/>
      <c r="T491" s="6"/>
      <c r="AC491" s="5"/>
      <c r="AD491" s="8"/>
      <c r="AE491" s="5"/>
      <c r="AF491" s="5"/>
      <c r="AP491" s="17"/>
      <c r="AQ491" s="8"/>
      <c r="AR491" s="8"/>
      <c r="CA491" s="18"/>
    </row>
    <row r="492" spans="19:79" s="4" customFormat="1" x14ac:dyDescent="0.35">
      <c r="S492" s="6"/>
      <c r="T492" s="6"/>
      <c r="AC492" s="5"/>
      <c r="AD492" s="8"/>
      <c r="AE492" s="5"/>
      <c r="AF492" s="5"/>
      <c r="AP492" s="17"/>
      <c r="AQ492" s="8"/>
      <c r="AR492" s="8"/>
      <c r="CA492" s="18"/>
    </row>
    <row r="493" spans="19:79" s="4" customFormat="1" x14ac:dyDescent="0.35">
      <c r="S493" s="6"/>
      <c r="T493" s="6"/>
      <c r="AC493" s="5"/>
      <c r="AD493" s="8"/>
      <c r="AE493" s="5"/>
      <c r="AF493" s="5"/>
      <c r="AP493" s="17"/>
      <c r="AQ493" s="8"/>
      <c r="AR493" s="8"/>
      <c r="CA493" s="18"/>
    </row>
    <row r="494" spans="19:79" s="4" customFormat="1" x14ac:dyDescent="0.35">
      <c r="S494" s="6"/>
      <c r="T494" s="6"/>
      <c r="AC494" s="5"/>
      <c r="AD494" s="8"/>
      <c r="AE494" s="5"/>
      <c r="AF494" s="5"/>
      <c r="AP494" s="17"/>
      <c r="AQ494" s="8"/>
      <c r="AR494" s="8"/>
      <c r="CA494" s="18"/>
    </row>
    <row r="495" spans="19:79" s="4" customFormat="1" x14ac:dyDescent="0.35">
      <c r="S495" s="6"/>
      <c r="T495" s="6"/>
      <c r="AC495" s="5"/>
      <c r="AD495" s="8"/>
      <c r="AE495" s="5"/>
      <c r="AF495" s="5"/>
      <c r="AP495" s="17"/>
      <c r="AQ495" s="8"/>
      <c r="AR495" s="8"/>
      <c r="CA495" s="18"/>
    </row>
    <row r="496" spans="19:79" s="4" customFormat="1" x14ac:dyDescent="0.35">
      <c r="S496" s="6"/>
      <c r="T496" s="6"/>
      <c r="AC496" s="5"/>
      <c r="AD496" s="8"/>
      <c r="AE496" s="5"/>
      <c r="AF496" s="5"/>
      <c r="AP496" s="17"/>
      <c r="AQ496" s="8"/>
      <c r="AR496" s="8"/>
      <c r="CA496" s="18"/>
    </row>
    <row r="497" spans="19:79" s="4" customFormat="1" x14ac:dyDescent="0.35">
      <c r="S497" s="6"/>
      <c r="T497" s="6"/>
      <c r="AC497" s="5"/>
      <c r="AD497" s="8"/>
      <c r="AE497" s="5"/>
      <c r="AF497" s="5"/>
      <c r="AP497" s="17"/>
      <c r="AQ497" s="8"/>
      <c r="AR497" s="8"/>
      <c r="CA497" s="18"/>
    </row>
    <row r="498" spans="19:79" s="4" customFormat="1" x14ac:dyDescent="0.35">
      <c r="S498" s="6"/>
      <c r="T498" s="6"/>
      <c r="AC498" s="5"/>
      <c r="AD498" s="8"/>
      <c r="AE498" s="5"/>
      <c r="AF498" s="5"/>
      <c r="AP498" s="17"/>
      <c r="AQ498" s="8"/>
      <c r="AR498" s="8"/>
      <c r="CA498" s="18"/>
    </row>
    <row r="499" spans="19:79" s="4" customFormat="1" x14ac:dyDescent="0.35">
      <c r="S499" s="6"/>
      <c r="T499" s="6"/>
      <c r="AC499" s="5"/>
      <c r="AD499" s="8"/>
      <c r="AE499" s="5"/>
      <c r="AF499" s="5"/>
      <c r="AP499" s="17"/>
      <c r="AQ499" s="8"/>
      <c r="AR499" s="8"/>
      <c r="CA499" s="18"/>
    </row>
    <row r="500" spans="19:79" s="4" customFormat="1" x14ac:dyDescent="0.35">
      <c r="S500" s="6"/>
      <c r="T500" s="6"/>
      <c r="AC500" s="5"/>
      <c r="AD500" s="8"/>
      <c r="AE500" s="5"/>
      <c r="AF500" s="5"/>
      <c r="AP500" s="17"/>
      <c r="AQ500" s="8"/>
      <c r="AR500" s="8"/>
      <c r="CA500" s="18"/>
    </row>
    <row r="501" spans="19:79" s="4" customFormat="1" x14ac:dyDescent="0.35">
      <c r="S501" s="6"/>
      <c r="T501" s="6"/>
      <c r="AC501" s="5"/>
      <c r="AD501" s="8"/>
      <c r="AE501" s="5"/>
      <c r="AF501" s="5"/>
      <c r="AP501" s="17"/>
      <c r="AQ501" s="8"/>
      <c r="AR501" s="8"/>
      <c r="CA501" s="18"/>
    </row>
    <row r="502" spans="19:79" s="4" customFormat="1" x14ac:dyDescent="0.35">
      <c r="S502" s="6"/>
      <c r="T502" s="6"/>
      <c r="AC502" s="5"/>
      <c r="AD502" s="8"/>
      <c r="AE502" s="5"/>
      <c r="AF502" s="5"/>
      <c r="AP502" s="17"/>
      <c r="AQ502" s="8"/>
      <c r="AR502" s="8"/>
      <c r="CA502" s="18"/>
    </row>
    <row r="503" spans="19:79" s="4" customFormat="1" x14ac:dyDescent="0.35">
      <c r="S503" s="6"/>
      <c r="T503" s="6"/>
      <c r="AC503" s="5"/>
      <c r="AD503" s="8"/>
      <c r="AE503" s="5"/>
      <c r="AF503" s="5"/>
      <c r="AP503" s="17"/>
      <c r="AQ503" s="8"/>
      <c r="AR503" s="8"/>
      <c r="CA503" s="18"/>
    </row>
    <row r="504" spans="19:79" s="4" customFormat="1" x14ac:dyDescent="0.35">
      <c r="S504" s="6"/>
      <c r="T504" s="6"/>
      <c r="AC504" s="5"/>
      <c r="AD504" s="8"/>
      <c r="AE504" s="5"/>
      <c r="AF504" s="5"/>
      <c r="AP504" s="17"/>
      <c r="AQ504" s="8"/>
      <c r="AR504" s="8"/>
      <c r="CA504" s="18"/>
    </row>
    <row r="505" spans="19:79" s="4" customFormat="1" x14ac:dyDescent="0.35">
      <c r="S505" s="6"/>
      <c r="T505" s="6"/>
      <c r="AC505" s="5"/>
      <c r="AD505" s="8"/>
      <c r="AE505" s="5"/>
      <c r="AF505" s="5"/>
      <c r="AP505" s="17"/>
      <c r="AQ505" s="8"/>
      <c r="AR505" s="8"/>
      <c r="CA505" s="18"/>
    </row>
    <row r="506" spans="19:79" s="4" customFormat="1" x14ac:dyDescent="0.35">
      <c r="S506" s="6"/>
      <c r="T506" s="6"/>
      <c r="AC506" s="5"/>
      <c r="AD506" s="8"/>
      <c r="AE506" s="5"/>
      <c r="AF506" s="5"/>
      <c r="AP506" s="17"/>
      <c r="AQ506" s="8"/>
      <c r="AR506" s="8"/>
      <c r="CA506" s="18"/>
    </row>
    <row r="507" spans="19:79" s="4" customFormat="1" x14ac:dyDescent="0.35">
      <c r="S507" s="6"/>
      <c r="T507" s="6"/>
      <c r="AC507" s="5"/>
      <c r="AD507" s="8"/>
      <c r="AE507" s="5"/>
      <c r="AF507" s="5"/>
      <c r="AP507" s="17"/>
      <c r="AQ507" s="8"/>
      <c r="AR507" s="8"/>
      <c r="CA507" s="18"/>
    </row>
    <row r="508" spans="19:79" s="4" customFormat="1" x14ac:dyDescent="0.35">
      <c r="S508" s="6"/>
      <c r="T508" s="6"/>
      <c r="AC508" s="5"/>
      <c r="AD508" s="8"/>
      <c r="AE508" s="5"/>
      <c r="AF508" s="5"/>
      <c r="AP508" s="17"/>
      <c r="AQ508" s="8"/>
      <c r="AR508" s="8"/>
      <c r="CA508" s="18"/>
    </row>
    <row r="509" spans="19:79" s="4" customFormat="1" x14ac:dyDescent="0.35">
      <c r="S509" s="6"/>
      <c r="T509" s="6"/>
      <c r="AC509" s="5"/>
      <c r="AD509" s="8"/>
      <c r="AE509" s="5"/>
      <c r="AF509" s="5"/>
      <c r="AP509" s="17"/>
      <c r="AQ509" s="8"/>
      <c r="AR509" s="8"/>
      <c r="CA509" s="18"/>
    </row>
    <row r="510" spans="19:79" s="4" customFormat="1" x14ac:dyDescent="0.35">
      <c r="S510" s="6"/>
      <c r="T510" s="6"/>
      <c r="AC510" s="5"/>
      <c r="AD510" s="8"/>
      <c r="AE510" s="5"/>
      <c r="AF510" s="5"/>
      <c r="AP510" s="17"/>
      <c r="AQ510" s="8"/>
      <c r="AR510" s="8"/>
      <c r="CA510" s="18"/>
    </row>
    <row r="511" spans="19:79" s="4" customFormat="1" x14ac:dyDescent="0.35">
      <c r="S511" s="6"/>
      <c r="T511" s="6"/>
      <c r="AC511" s="5"/>
      <c r="AD511" s="8"/>
      <c r="AE511" s="5"/>
      <c r="AF511" s="5"/>
      <c r="AP511" s="17"/>
      <c r="AQ511" s="8"/>
      <c r="AR511" s="8"/>
      <c r="CA511" s="18"/>
    </row>
    <row r="512" spans="19:79" s="4" customFormat="1" x14ac:dyDescent="0.35">
      <c r="S512" s="6"/>
      <c r="T512" s="6"/>
      <c r="AC512" s="5"/>
      <c r="AD512" s="8"/>
      <c r="AE512" s="5"/>
      <c r="AF512" s="5"/>
      <c r="AP512" s="17"/>
      <c r="AQ512" s="8"/>
      <c r="AR512" s="8"/>
      <c r="CA512" s="18"/>
    </row>
    <row r="513" spans="19:79" s="4" customFormat="1" x14ac:dyDescent="0.35">
      <c r="S513" s="6"/>
      <c r="T513" s="6"/>
      <c r="AC513" s="5"/>
      <c r="AD513" s="8"/>
      <c r="AE513" s="5"/>
      <c r="AF513" s="5"/>
      <c r="AP513" s="17"/>
      <c r="AQ513" s="8"/>
      <c r="AR513" s="8"/>
      <c r="CA513" s="18"/>
    </row>
    <row r="514" spans="19:79" s="4" customFormat="1" x14ac:dyDescent="0.35">
      <c r="S514" s="6"/>
      <c r="T514" s="6"/>
      <c r="AC514" s="5"/>
      <c r="AD514" s="8"/>
      <c r="AE514" s="5"/>
      <c r="AF514" s="5"/>
      <c r="AP514" s="17"/>
      <c r="AQ514" s="8"/>
      <c r="AR514" s="8"/>
      <c r="CA514" s="18"/>
    </row>
    <row r="515" spans="19:79" s="4" customFormat="1" x14ac:dyDescent="0.35">
      <c r="S515" s="6"/>
      <c r="T515" s="6"/>
      <c r="AC515" s="5"/>
      <c r="AD515" s="8"/>
      <c r="AE515" s="5"/>
      <c r="AF515" s="5"/>
      <c r="AP515" s="17"/>
      <c r="AQ515" s="8"/>
      <c r="AR515" s="8"/>
      <c r="CA515" s="18"/>
    </row>
    <row r="516" spans="19:79" s="4" customFormat="1" x14ac:dyDescent="0.35">
      <c r="S516" s="6"/>
      <c r="T516" s="6"/>
      <c r="AC516" s="5"/>
      <c r="AD516" s="8"/>
      <c r="AE516" s="5"/>
      <c r="AF516" s="5"/>
      <c r="AP516" s="17"/>
      <c r="AQ516" s="8"/>
      <c r="AR516" s="8"/>
      <c r="CA516" s="18"/>
    </row>
    <row r="517" spans="19:79" s="4" customFormat="1" x14ac:dyDescent="0.35">
      <c r="S517" s="6"/>
      <c r="T517" s="6"/>
      <c r="AC517" s="5"/>
      <c r="AD517" s="8"/>
      <c r="AE517" s="5"/>
      <c r="AF517" s="5"/>
      <c r="AP517" s="17"/>
      <c r="AQ517" s="8"/>
      <c r="AR517" s="8"/>
      <c r="CA517" s="18"/>
    </row>
    <row r="518" spans="19:79" s="4" customFormat="1" x14ac:dyDescent="0.35">
      <c r="S518" s="6"/>
      <c r="T518" s="6"/>
      <c r="AC518" s="5"/>
      <c r="AD518" s="8"/>
      <c r="AE518" s="5"/>
      <c r="AF518" s="5"/>
      <c r="AP518" s="17"/>
      <c r="AQ518" s="8"/>
      <c r="AR518" s="8"/>
      <c r="CA518" s="18"/>
    </row>
    <row r="519" spans="19:79" s="4" customFormat="1" x14ac:dyDescent="0.35">
      <c r="S519" s="6"/>
      <c r="T519" s="6"/>
      <c r="AC519" s="5"/>
      <c r="AD519" s="8"/>
      <c r="AE519" s="5"/>
      <c r="AF519" s="5"/>
      <c r="AP519" s="17"/>
      <c r="AQ519" s="8"/>
      <c r="AR519" s="8"/>
      <c r="CA519" s="18"/>
    </row>
    <row r="520" spans="19:79" s="4" customFormat="1" x14ac:dyDescent="0.35">
      <c r="S520" s="6"/>
      <c r="T520" s="6"/>
      <c r="AC520" s="5"/>
      <c r="AD520" s="8"/>
      <c r="AE520" s="5"/>
      <c r="AF520" s="5"/>
      <c r="AP520" s="17"/>
      <c r="AQ520" s="8"/>
      <c r="AR520" s="8"/>
      <c r="CA520" s="18"/>
    </row>
    <row r="521" spans="19:79" s="4" customFormat="1" x14ac:dyDescent="0.35">
      <c r="S521" s="6"/>
      <c r="T521" s="6"/>
      <c r="AC521" s="5"/>
      <c r="AD521" s="8"/>
      <c r="AE521" s="5"/>
      <c r="AF521" s="5"/>
      <c r="AP521" s="17"/>
      <c r="AQ521" s="8"/>
      <c r="AR521" s="8"/>
      <c r="CA521" s="18"/>
    </row>
    <row r="522" spans="19:79" s="4" customFormat="1" x14ac:dyDescent="0.35">
      <c r="S522" s="6"/>
      <c r="T522" s="6"/>
      <c r="AC522" s="5"/>
      <c r="AD522" s="8"/>
      <c r="AE522" s="5"/>
      <c r="AF522" s="5"/>
      <c r="AP522" s="17"/>
      <c r="AQ522" s="8"/>
      <c r="AR522" s="8"/>
      <c r="CA522" s="18"/>
    </row>
    <row r="523" spans="19:79" s="4" customFormat="1" x14ac:dyDescent="0.35">
      <c r="S523" s="6"/>
      <c r="T523" s="6"/>
      <c r="AC523" s="5"/>
      <c r="AD523" s="8"/>
      <c r="AE523" s="5"/>
      <c r="AF523" s="5"/>
      <c r="AP523" s="17"/>
      <c r="AQ523" s="8"/>
      <c r="AR523" s="8"/>
      <c r="CA523" s="18"/>
    </row>
    <row r="524" spans="19:79" s="4" customFormat="1" x14ac:dyDescent="0.35">
      <c r="S524" s="6"/>
      <c r="T524" s="6"/>
      <c r="AC524" s="5"/>
      <c r="AD524" s="8"/>
      <c r="AE524" s="5"/>
      <c r="AF524" s="5"/>
      <c r="AP524" s="17"/>
      <c r="AQ524" s="8"/>
      <c r="AR524" s="8"/>
      <c r="CA524" s="18"/>
    </row>
    <row r="525" spans="19:79" s="4" customFormat="1" x14ac:dyDescent="0.35">
      <c r="S525" s="6"/>
      <c r="T525" s="6"/>
      <c r="AC525" s="5"/>
      <c r="AD525" s="8"/>
      <c r="AE525" s="5"/>
      <c r="AF525" s="5"/>
      <c r="AP525" s="17"/>
      <c r="AQ525" s="8"/>
      <c r="AR525" s="8"/>
      <c r="CA525" s="18"/>
    </row>
    <row r="526" spans="19:79" s="4" customFormat="1" x14ac:dyDescent="0.35">
      <c r="S526" s="6"/>
      <c r="T526" s="6"/>
      <c r="AC526" s="5"/>
      <c r="AD526" s="8"/>
      <c r="AE526" s="5"/>
      <c r="AF526" s="5"/>
      <c r="AP526" s="17"/>
      <c r="AQ526" s="8"/>
      <c r="AR526" s="8"/>
      <c r="CA526" s="18"/>
    </row>
    <row r="527" spans="19:79" s="4" customFormat="1" x14ac:dyDescent="0.35">
      <c r="S527" s="6"/>
      <c r="T527" s="6"/>
      <c r="AC527" s="5"/>
      <c r="AD527" s="8"/>
      <c r="AE527" s="5"/>
      <c r="AF527" s="5"/>
      <c r="AP527" s="17"/>
      <c r="AQ527" s="8"/>
      <c r="AR527" s="8"/>
      <c r="CA527" s="18"/>
    </row>
    <row r="528" spans="19:79" s="4" customFormat="1" x14ac:dyDescent="0.35">
      <c r="S528" s="6"/>
      <c r="T528" s="6"/>
      <c r="AC528" s="5"/>
      <c r="AD528" s="8"/>
      <c r="AE528" s="5"/>
      <c r="AF528" s="5"/>
      <c r="AP528" s="17"/>
      <c r="AQ528" s="8"/>
      <c r="AR528" s="8"/>
      <c r="CA528" s="18"/>
    </row>
    <row r="529" spans="19:79" s="4" customFormat="1" x14ac:dyDescent="0.35">
      <c r="S529" s="6"/>
      <c r="T529" s="6"/>
      <c r="AC529" s="5"/>
      <c r="AD529" s="8"/>
      <c r="AE529" s="5"/>
      <c r="AF529" s="5"/>
      <c r="AP529" s="17"/>
      <c r="AQ529" s="8"/>
      <c r="AR529" s="8"/>
      <c r="CA529" s="18"/>
    </row>
    <row r="530" spans="19:79" s="4" customFormat="1" x14ac:dyDescent="0.35">
      <c r="S530" s="6"/>
      <c r="T530" s="6"/>
      <c r="AC530" s="5"/>
      <c r="AD530" s="8"/>
      <c r="AE530" s="5"/>
      <c r="AF530" s="5"/>
      <c r="AP530" s="17"/>
      <c r="AQ530" s="8"/>
      <c r="AR530" s="8"/>
      <c r="CA530" s="18"/>
    </row>
    <row r="531" spans="19:79" s="4" customFormat="1" x14ac:dyDescent="0.35">
      <c r="S531" s="6"/>
      <c r="T531" s="6"/>
      <c r="AC531" s="5"/>
      <c r="AD531" s="8"/>
      <c r="AE531" s="5"/>
      <c r="AF531" s="5"/>
      <c r="AP531" s="17"/>
      <c r="AQ531" s="8"/>
      <c r="AR531" s="8"/>
      <c r="CA531" s="18"/>
    </row>
    <row r="532" spans="19:79" s="4" customFormat="1" x14ac:dyDescent="0.35">
      <c r="S532" s="6"/>
      <c r="T532" s="6"/>
      <c r="AC532" s="5"/>
      <c r="AD532" s="8"/>
      <c r="AE532" s="5"/>
      <c r="AF532" s="5"/>
      <c r="AP532" s="17"/>
      <c r="AQ532" s="8"/>
      <c r="AR532" s="8"/>
      <c r="CA532" s="18"/>
    </row>
    <row r="533" spans="19:79" s="4" customFormat="1" x14ac:dyDescent="0.35">
      <c r="S533" s="6"/>
      <c r="T533" s="6"/>
      <c r="AC533" s="5"/>
      <c r="AD533" s="8"/>
      <c r="AE533" s="5"/>
      <c r="AF533" s="5"/>
      <c r="AP533" s="17"/>
      <c r="AQ533" s="8"/>
      <c r="AR533" s="8"/>
      <c r="CA533" s="18"/>
    </row>
    <row r="534" spans="19:79" s="4" customFormat="1" x14ac:dyDescent="0.35">
      <c r="S534" s="6"/>
      <c r="T534" s="6"/>
      <c r="AC534" s="5"/>
      <c r="AD534" s="8"/>
      <c r="AE534" s="5"/>
      <c r="AF534" s="5"/>
      <c r="AP534" s="17"/>
      <c r="AQ534" s="8"/>
      <c r="AR534" s="8"/>
      <c r="CA534" s="18"/>
    </row>
    <row r="535" spans="19:79" s="4" customFormat="1" x14ac:dyDescent="0.35">
      <c r="S535" s="6"/>
      <c r="T535" s="6"/>
      <c r="AC535" s="5"/>
      <c r="AD535" s="8"/>
      <c r="AE535" s="5"/>
      <c r="AF535" s="5"/>
      <c r="AP535" s="17"/>
      <c r="AQ535" s="8"/>
      <c r="AR535" s="8"/>
      <c r="CA535" s="18"/>
    </row>
    <row r="536" spans="19:79" s="4" customFormat="1" x14ac:dyDescent="0.35">
      <c r="S536" s="6"/>
      <c r="T536" s="6"/>
      <c r="AC536" s="5"/>
      <c r="AD536" s="8"/>
      <c r="AE536" s="5"/>
      <c r="AF536" s="5"/>
      <c r="AP536" s="17"/>
      <c r="AQ536" s="8"/>
      <c r="AR536" s="8"/>
      <c r="CA536" s="18"/>
    </row>
    <row r="537" spans="19:79" s="4" customFormat="1" x14ac:dyDescent="0.35">
      <c r="S537" s="6"/>
      <c r="T537" s="6"/>
      <c r="AC537" s="5"/>
      <c r="AD537" s="8"/>
      <c r="AE537" s="5"/>
      <c r="AF537" s="5"/>
      <c r="AP537" s="17"/>
      <c r="AQ537" s="8"/>
      <c r="AR537" s="8"/>
      <c r="CA537" s="18"/>
    </row>
    <row r="538" spans="19:79" s="4" customFormat="1" x14ac:dyDescent="0.35">
      <c r="S538" s="6"/>
      <c r="T538" s="6"/>
      <c r="AC538" s="5"/>
      <c r="AD538" s="8"/>
      <c r="AE538" s="5"/>
      <c r="AF538" s="5"/>
      <c r="AP538" s="17"/>
      <c r="AQ538" s="8"/>
      <c r="AR538" s="8"/>
      <c r="CA538" s="18"/>
    </row>
    <row r="539" spans="19:79" s="4" customFormat="1" x14ac:dyDescent="0.35">
      <c r="S539" s="6"/>
      <c r="T539" s="6"/>
      <c r="AC539" s="5"/>
      <c r="AD539" s="8"/>
      <c r="AE539" s="5"/>
      <c r="AF539" s="5"/>
      <c r="AP539" s="17"/>
      <c r="AQ539" s="8"/>
      <c r="AR539" s="8"/>
      <c r="CA539" s="18"/>
    </row>
    <row r="540" spans="19:79" s="4" customFormat="1" x14ac:dyDescent="0.35">
      <c r="S540" s="6"/>
      <c r="T540" s="6"/>
      <c r="AC540" s="5"/>
      <c r="AD540" s="8"/>
      <c r="AE540" s="5"/>
      <c r="AF540" s="5"/>
      <c r="AP540" s="17"/>
      <c r="AQ540" s="8"/>
      <c r="AR540" s="8"/>
      <c r="CA540" s="18"/>
    </row>
    <row r="541" spans="19:79" s="4" customFormat="1" x14ac:dyDescent="0.35">
      <c r="S541" s="6"/>
      <c r="T541" s="6"/>
      <c r="AC541" s="5"/>
      <c r="AD541" s="8"/>
      <c r="AE541" s="5"/>
      <c r="AF541" s="5"/>
      <c r="AP541" s="17"/>
      <c r="AQ541" s="8"/>
      <c r="AR541" s="8"/>
      <c r="CA541" s="18"/>
    </row>
    <row r="542" spans="19:79" s="4" customFormat="1" x14ac:dyDescent="0.35">
      <c r="S542" s="6"/>
      <c r="T542" s="6"/>
      <c r="AC542" s="5"/>
      <c r="AD542" s="8"/>
      <c r="AE542" s="5"/>
      <c r="AF542" s="5"/>
      <c r="AP542" s="17"/>
      <c r="AQ542" s="8"/>
      <c r="AR542" s="8"/>
      <c r="CA542" s="18"/>
    </row>
    <row r="543" spans="19:79" s="4" customFormat="1" x14ac:dyDescent="0.35">
      <c r="S543" s="6"/>
      <c r="T543" s="6"/>
      <c r="AC543" s="5"/>
      <c r="AD543" s="8"/>
      <c r="AE543" s="5"/>
      <c r="AF543" s="5"/>
      <c r="AP543" s="17"/>
      <c r="AQ543" s="8"/>
      <c r="AR543" s="8"/>
      <c r="CA543" s="18"/>
    </row>
    <row r="544" spans="19:79" s="4" customFormat="1" x14ac:dyDescent="0.35">
      <c r="S544" s="6"/>
      <c r="T544" s="6"/>
      <c r="AC544" s="5"/>
      <c r="AD544" s="8"/>
      <c r="AE544" s="5"/>
      <c r="AF544" s="5"/>
      <c r="AP544" s="17"/>
      <c r="AQ544" s="8"/>
      <c r="AR544" s="8"/>
      <c r="CA544" s="18"/>
    </row>
    <row r="545" spans="19:79" s="4" customFormat="1" x14ac:dyDescent="0.35">
      <c r="S545" s="6"/>
      <c r="T545" s="6"/>
      <c r="AC545" s="5"/>
      <c r="AD545" s="8"/>
      <c r="AE545" s="5"/>
      <c r="AF545" s="5"/>
      <c r="AP545" s="17"/>
      <c r="AQ545" s="8"/>
      <c r="AR545" s="8"/>
      <c r="CA545" s="18"/>
    </row>
    <row r="546" spans="19:79" s="4" customFormat="1" x14ac:dyDescent="0.35">
      <c r="S546" s="6"/>
      <c r="T546" s="6"/>
      <c r="AC546" s="5"/>
      <c r="AD546" s="8"/>
      <c r="AE546" s="5"/>
      <c r="AF546" s="5"/>
      <c r="AP546" s="17"/>
      <c r="AQ546" s="8"/>
      <c r="AR546" s="8"/>
      <c r="CA546" s="18"/>
    </row>
    <row r="547" spans="19:79" s="4" customFormat="1" x14ac:dyDescent="0.35">
      <c r="S547" s="6"/>
      <c r="T547" s="6"/>
      <c r="AC547" s="5"/>
      <c r="AD547" s="8"/>
      <c r="AE547" s="5"/>
      <c r="AF547" s="5"/>
      <c r="AP547" s="17"/>
      <c r="AQ547" s="8"/>
      <c r="AR547" s="8"/>
      <c r="CA547" s="18"/>
    </row>
    <row r="548" spans="19:79" s="4" customFormat="1" x14ac:dyDescent="0.35">
      <c r="S548" s="6"/>
      <c r="T548" s="6"/>
      <c r="AC548" s="5"/>
      <c r="AD548" s="8"/>
      <c r="AE548" s="5"/>
      <c r="AF548" s="5"/>
      <c r="AP548" s="17"/>
      <c r="AQ548" s="8"/>
      <c r="AR548" s="8"/>
      <c r="CA548" s="18"/>
    </row>
    <row r="549" spans="19:79" s="4" customFormat="1" x14ac:dyDescent="0.35">
      <c r="S549" s="6"/>
      <c r="T549" s="6"/>
      <c r="AC549" s="5"/>
      <c r="AD549" s="8"/>
      <c r="AE549" s="5"/>
      <c r="AF549" s="5"/>
      <c r="AP549" s="17"/>
      <c r="AQ549" s="8"/>
      <c r="AR549" s="8"/>
      <c r="CA549" s="18"/>
    </row>
    <row r="550" spans="19:79" s="4" customFormat="1" x14ac:dyDescent="0.35">
      <c r="S550" s="6"/>
      <c r="T550" s="6"/>
      <c r="AC550" s="5"/>
      <c r="AD550" s="8"/>
      <c r="AE550" s="5"/>
      <c r="AF550" s="5"/>
      <c r="AP550" s="17"/>
      <c r="AQ550" s="8"/>
      <c r="AR550" s="8"/>
      <c r="CA550" s="18"/>
    </row>
    <row r="551" spans="19:79" s="4" customFormat="1" x14ac:dyDescent="0.35">
      <c r="S551" s="6"/>
      <c r="T551" s="6"/>
      <c r="AC551" s="5"/>
      <c r="AD551" s="8"/>
      <c r="AE551" s="5"/>
      <c r="AF551" s="5"/>
      <c r="AP551" s="17"/>
      <c r="AQ551" s="8"/>
      <c r="AR551" s="8"/>
      <c r="CA551" s="18"/>
    </row>
    <row r="552" spans="19:79" s="4" customFormat="1" x14ac:dyDescent="0.35">
      <c r="S552" s="6"/>
      <c r="T552" s="6"/>
      <c r="AC552" s="5"/>
      <c r="AD552" s="8"/>
      <c r="AE552" s="5"/>
      <c r="AF552" s="5"/>
      <c r="AP552" s="17"/>
      <c r="AQ552" s="8"/>
      <c r="AR552" s="8"/>
      <c r="CA552" s="18"/>
    </row>
    <row r="553" spans="19:79" s="4" customFormat="1" x14ac:dyDescent="0.35">
      <c r="S553" s="6"/>
      <c r="T553" s="6"/>
      <c r="AC553" s="5"/>
      <c r="AD553" s="8"/>
      <c r="AE553" s="5"/>
      <c r="AF553" s="5"/>
      <c r="AP553" s="17"/>
      <c r="AQ553" s="8"/>
      <c r="AR553" s="8"/>
      <c r="CA553" s="18"/>
    </row>
    <row r="554" spans="19:79" s="4" customFormat="1" x14ac:dyDescent="0.35">
      <c r="S554" s="6"/>
      <c r="T554" s="6"/>
      <c r="AC554" s="5"/>
      <c r="AD554" s="8"/>
      <c r="AE554" s="5"/>
      <c r="AF554" s="5"/>
      <c r="AP554" s="17"/>
      <c r="AQ554" s="8"/>
      <c r="AR554" s="8"/>
      <c r="CA554" s="18"/>
    </row>
    <row r="555" spans="19:79" s="4" customFormat="1" x14ac:dyDescent="0.35">
      <c r="S555" s="6"/>
      <c r="T555" s="6"/>
      <c r="AC555" s="5"/>
      <c r="AD555" s="8"/>
      <c r="AE555" s="5"/>
      <c r="AF555" s="5"/>
      <c r="AP555" s="17"/>
      <c r="AQ555" s="8"/>
      <c r="AR555" s="8"/>
      <c r="CA555" s="18"/>
    </row>
    <row r="556" spans="19:79" s="4" customFormat="1" x14ac:dyDescent="0.35">
      <c r="S556" s="6"/>
      <c r="T556" s="6"/>
      <c r="AC556" s="5"/>
      <c r="AD556" s="8"/>
      <c r="AE556" s="5"/>
      <c r="AF556" s="5"/>
      <c r="AP556" s="17"/>
      <c r="AQ556" s="8"/>
      <c r="AR556" s="8"/>
      <c r="CA556" s="18"/>
    </row>
    <row r="557" spans="19:79" s="4" customFormat="1" x14ac:dyDescent="0.35">
      <c r="S557" s="6"/>
      <c r="T557" s="6"/>
      <c r="AC557" s="5"/>
      <c r="AD557" s="8"/>
      <c r="AE557" s="5"/>
      <c r="AF557" s="5"/>
      <c r="AP557" s="17"/>
      <c r="AQ557" s="8"/>
      <c r="AR557" s="8"/>
      <c r="CA557" s="18"/>
    </row>
    <row r="558" spans="19:79" s="4" customFormat="1" x14ac:dyDescent="0.35">
      <c r="S558" s="6"/>
      <c r="T558" s="6"/>
      <c r="AC558" s="5"/>
      <c r="AD558" s="8"/>
      <c r="AE558" s="5"/>
      <c r="AF558" s="5"/>
      <c r="AP558" s="17"/>
      <c r="AQ558" s="8"/>
      <c r="AR558" s="8"/>
      <c r="CA558" s="18"/>
    </row>
    <row r="559" spans="19:79" s="4" customFormat="1" x14ac:dyDescent="0.35">
      <c r="S559" s="6"/>
      <c r="T559" s="6"/>
      <c r="AC559" s="5"/>
      <c r="AD559" s="8"/>
      <c r="AE559" s="5"/>
      <c r="AF559" s="5"/>
      <c r="AP559" s="17"/>
      <c r="AQ559" s="8"/>
      <c r="AR559" s="8"/>
      <c r="CA559" s="18"/>
    </row>
    <row r="560" spans="19:79" s="4" customFormat="1" x14ac:dyDescent="0.35">
      <c r="S560" s="6"/>
      <c r="T560" s="6"/>
      <c r="AC560" s="5"/>
      <c r="AD560" s="8"/>
      <c r="AE560" s="5"/>
      <c r="AF560" s="5"/>
      <c r="AP560" s="17"/>
      <c r="AQ560" s="8"/>
      <c r="AR560" s="8"/>
      <c r="CA560" s="18"/>
    </row>
    <row r="561" spans="19:79" s="4" customFormat="1" x14ac:dyDescent="0.35">
      <c r="S561" s="6"/>
      <c r="T561" s="6"/>
      <c r="AC561" s="5"/>
      <c r="AD561" s="8"/>
      <c r="AE561" s="5"/>
      <c r="AF561" s="5"/>
      <c r="AP561" s="17"/>
      <c r="AQ561" s="8"/>
      <c r="AR561" s="8"/>
      <c r="CA561" s="18"/>
    </row>
    <row r="562" spans="19:79" s="4" customFormat="1" x14ac:dyDescent="0.35">
      <c r="S562" s="6"/>
      <c r="T562" s="6"/>
      <c r="AC562" s="5"/>
      <c r="AD562" s="8"/>
      <c r="AE562" s="5"/>
      <c r="AF562" s="5"/>
      <c r="AP562" s="17"/>
      <c r="AQ562" s="8"/>
      <c r="AR562" s="8"/>
      <c r="CA562" s="18"/>
    </row>
    <row r="563" spans="19:79" s="4" customFormat="1" x14ac:dyDescent="0.35">
      <c r="S563" s="6"/>
      <c r="T563" s="6"/>
      <c r="AC563" s="5"/>
      <c r="AD563" s="8"/>
      <c r="AE563" s="5"/>
      <c r="AF563" s="5"/>
      <c r="AP563" s="17"/>
      <c r="AQ563" s="8"/>
      <c r="AR563" s="8"/>
      <c r="CA563" s="18"/>
    </row>
    <row r="564" spans="19:79" s="4" customFormat="1" x14ac:dyDescent="0.35">
      <c r="S564" s="6"/>
      <c r="T564" s="6"/>
      <c r="AC564" s="5"/>
      <c r="AD564" s="8"/>
      <c r="AE564" s="5"/>
      <c r="AF564" s="5"/>
      <c r="AP564" s="17"/>
      <c r="AQ564" s="8"/>
      <c r="AR564" s="8"/>
      <c r="CA564" s="18"/>
    </row>
    <row r="565" spans="19:79" s="4" customFormat="1" x14ac:dyDescent="0.35">
      <c r="S565" s="6"/>
      <c r="T565" s="6"/>
      <c r="AC565" s="5"/>
      <c r="AD565" s="8"/>
      <c r="AE565" s="5"/>
      <c r="AF565" s="5"/>
      <c r="AP565" s="17"/>
      <c r="AQ565" s="8"/>
      <c r="AR565" s="8"/>
      <c r="CA565" s="18"/>
    </row>
    <row r="566" spans="19:79" s="4" customFormat="1" x14ac:dyDescent="0.35">
      <c r="S566" s="6"/>
      <c r="T566" s="6"/>
      <c r="AC566" s="5"/>
      <c r="AD566" s="8"/>
      <c r="AE566" s="5"/>
      <c r="AF566" s="5"/>
      <c r="AP566" s="17"/>
      <c r="AQ566" s="8"/>
      <c r="AR566" s="8"/>
      <c r="CA566" s="18"/>
    </row>
    <row r="567" spans="19:79" s="4" customFormat="1" x14ac:dyDescent="0.35">
      <c r="S567" s="6"/>
      <c r="T567" s="6"/>
      <c r="AC567" s="5"/>
      <c r="AD567" s="8"/>
      <c r="AE567" s="5"/>
      <c r="AF567" s="5"/>
      <c r="AP567" s="17"/>
      <c r="AQ567" s="8"/>
      <c r="AR567" s="8"/>
      <c r="CA567" s="18"/>
    </row>
    <row r="568" spans="19:79" s="4" customFormat="1" x14ac:dyDescent="0.35">
      <c r="S568" s="6"/>
      <c r="T568" s="6"/>
      <c r="AC568" s="5"/>
      <c r="AD568" s="8"/>
      <c r="AE568" s="5"/>
      <c r="AF568" s="5"/>
      <c r="AP568" s="17"/>
      <c r="AQ568" s="8"/>
      <c r="AR568" s="8"/>
      <c r="CA568" s="18"/>
    </row>
    <row r="569" spans="19:79" s="4" customFormat="1" x14ac:dyDescent="0.35">
      <c r="S569" s="6"/>
      <c r="T569" s="6"/>
      <c r="AC569" s="5"/>
      <c r="AD569" s="8"/>
      <c r="AE569" s="5"/>
      <c r="AF569" s="5"/>
      <c r="AP569" s="17"/>
      <c r="AQ569" s="8"/>
      <c r="AR569" s="8"/>
      <c r="CA569" s="18"/>
    </row>
    <row r="570" spans="19:79" s="4" customFormat="1" x14ac:dyDescent="0.35">
      <c r="S570" s="6"/>
      <c r="T570" s="6"/>
      <c r="AC570" s="5"/>
      <c r="AD570" s="8"/>
      <c r="AE570" s="5"/>
      <c r="AF570" s="5"/>
      <c r="AP570" s="17"/>
      <c r="AQ570" s="8"/>
      <c r="AR570" s="8"/>
      <c r="CA570" s="18"/>
    </row>
    <row r="571" spans="19:79" s="4" customFormat="1" x14ac:dyDescent="0.35">
      <c r="S571" s="6"/>
      <c r="T571" s="6"/>
      <c r="AC571" s="5"/>
      <c r="AD571" s="8"/>
      <c r="AE571" s="5"/>
      <c r="AF571" s="5"/>
      <c r="AP571" s="17"/>
      <c r="AQ571" s="8"/>
      <c r="AR571" s="8"/>
      <c r="CA571" s="18"/>
    </row>
    <row r="572" spans="19:79" s="4" customFormat="1" x14ac:dyDescent="0.35">
      <c r="S572" s="6"/>
      <c r="T572" s="6"/>
      <c r="AC572" s="5"/>
      <c r="AD572" s="8"/>
      <c r="AE572" s="5"/>
      <c r="AF572" s="5"/>
      <c r="AP572" s="17"/>
      <c r="AQ572" s="8"/>
      <c r="AR572" s="8"/>
      <c r="CA572" s="18"/>
    </row>
    <row r="573" spans="19:79" s="4" customFormat="1" x14ac:dyDescent="0.35">
      <c r="S573" s="6"/>
      <c r="T573" s="6"/>
      <c r="AC573" s="5"/>
      <c r="AD573" s="8"/>
      <c r="AE573" s="5"/>
      <c r="AF573" s="5"/>
      <c r="AP573" s="17"/>
      <c r="AQ573" s="8"/>
      <c r="AR573" s="8"/>
      <c r="CA573" s="18"/>
    </row>
    <row r="574" spans="19:79" s="4" customFormat="1" x14ac:dyDescent="0.35">
      <c r="S574" s="6"/>
      <c r="T574" s="6"/>
      <c r="AC574" s="5"/>
      <c r="AD574" s="8"/>
      <c r="AE574" s="5"/>
      <c r="AF574" s="5"/>
      <c r="AP574" s="17"/>
      <c r="AQ574" s="8"/>
      <c r="AR574" s="8"/>
      <c r="CA574" s="18"/>
    </row>
    <row r="575" spans="19:79" s="4" customFormat="1" x14ac:dyDescent="0.35">
      <c r="S575" s="6"/>
      <c r="T575" s="6"/>
      <c r="AC575" s="5"/>
      <c r="AD575" s="8"/>
      <c r="AE575" s="5"/>
      <c r="AF575" s="5"/>
      <c r="AP575" s="17"/>
      <c r="AQ575" s="8"/>
      <c r="AR575" s="8"/>
      <c r="CA575" s="18"/>
    </row>
    <row r="576" spans="19:79" s="4" customFormat="1" x14ac:dyDescent="0.35">
      <c r="S576" s="6"/>
      <c r="T576" s="6"/>
      <c r="AC576" s="5"/>
      <c r="AD576" s="8"/>
      <c r="AE576" s="5"/>
      <c r="AF576" s="5"/>
      <c r="AP576" s="17"/>
      <c r="AQ576" s="8"/>
      <c r="AR576" s="8"/>
      <c r="CA576" s="18"/>
    </row>
    <row r="577" spans="19:79" s="4" customFormat="1" x14ac:dyDescent="0.35">
      <c r="S577" s="6"/>
      <c r="T577" s="6"/>
      <c r="AC577" s="5"/>
      <c r="AD577" s="8"/>
      <c r="AE577" s="5"/>
      <c r="AF577" s="5"/>
      <c r="AP577" s="17"/>
      <c r="AQ577" s="8"/>
      <c r="AR577" s="8"/>
      <c r="CA577" s="18"/>
    </row>
    <row r="578" spans="19:79" s="4" customFormat="1" x14ac:dyDescent="0.35">
      <c r="S578" s="6"/>
      <c r="T578" s="6"/>
      <c r="AC578" s="5"/>
      <c r="AD578" s="8"/>
      <c r="AE578" s="5"/>
      <c r="AF578" s="5"/>
      <c r="AP578" s="17"/>
      <c r="AQ578" s="8"/>
      <c r="AR578" s="8"/>
      <c r="CA578" s="18"/>
    </row>
    <row r="579" spans="19:79" s="4" customFormat="1" x14ac:dyDescent="0.35">
      <c r="S579" s="6"/>
      <c r="T579" s="6"/>
      <c r="AC579" s="5"/>
      <c r="AD579" s="8"/>
      <c r="AE579" s="5"/>
      <c r="AF579" s="5"/>
      <c r="AP579" s="17"/>
      <c r="AQ579" s="8"/>
      <c r="AR579" s="8"/>
      <c r="CA579" s="18"/>
    </row>
    <row r="580" spans="19:79" s="4" customFormat="1" x14ac:dyDescent="0.35">
      <c r="S580" s="6"/>
      <c r="T580" s="6"/>
      <c r="AC580" s="5"/>
      <c r="AD580" s="8"/>
      <c r="AE580" s="5"/>
      <c r="AF580" s="5"/>
      <c r="AP580" s="17"/>
      <c r="AQ580" s="8"/>
      <c r="AR580" s="8"/>
      <c r="CA580" s="18"/>
    </row>
    <row r="581" spans="19:79" s="4" customFormat="1" x14ac:dyDescent="0.35">
      <c r="S581" s="6"/>
      <c r="T581" s="6"/>
      <c r="AC581" s="5"/>
      <c r="AD581" s="8"/>
      <c r="AE581" s="5"/>
      <c r="AF581" s="5"/>
      <c r="AP581" s="17"/>
      <c r="AQ581" s="8"/>
      <c r="AR581" s="8"/>
      <c r="CA581" s="18"/>
    </row>
    <row r="582" spans="19:79" s="4" customFormat="1" x14ac:dyDescent="0.35">
      <c r="S582" s="6"/>
      <c r="T582" s="6"/>
      <c r="AC582" s="5"/>
      <c r="AD582" s="8"/>
      <c r="AE582" s="5"/>
      <c r="AF582" s="5"/>
      <c r="AP582" s="17"/>
      <c r="AQ582" s="8"/>
      <c r="AR582" s="8"/>
      <c r="CA582" s="18"/>
    </row>
    <row r="583" spans="19:79" s="4" customFormat="1" x14ac:dyDescent="0.35">
      <c r="S583" s="6"/>
      <c r="T583" s="6"/>
      <c r="AC583" s="5"/>
      <c r="AD583" s="8"/>
      <c r="AE583" s="5"/>
      <c r="AF583" s="5"/>
      <c r="AP583" s="17"/>
      <c r="AQ583" s="8"/>
      <c r="AR583" s="8"/>
      <c r="CA583" s="18"/>
    </row>
    <row r="584" spans="19:79" s="4" customFormat="1" x14ac:dyDescent="0.35">
      <c r="S584" s="6"/>
      <c r="T584" s="6"/>
      <c r="AC584" s="5"/>
      <c r="AD584" s="8"/>
      <c r="AE584" s="5"/>
      <c r="AF584" s="5"/>
      <c r="AP584" s="17"/>
      <c r="AQ584" s="8"/>
      <c r="AR584" s="8"/>
      <c r="CA584" s="18"/>
    </row>
    <row r="585" spans="19:79" s="4" customFormat="1" x14ac:dyDescent="0.35">
      <c r="S585" s="6"/>
      <c r="T585" s="6"/>
      <c r="AC585" s="5"/>
      <c r="AD585" s="8"/>
      <c r="AE585" s="5"/>
      <c r="AF585" s="5"/>
      <c r="AP585" s="17"/>
      <c r="AQ585" s="8"/>
      <c r="AR585" s="8"/>
      <c r="CA585" s="18"/>
    </row>
    <row r="586" spans="19:79" s="4" customFormat="1" x14ac:dyDescent="0.35">
      <c r="S586" s="6"/>
      <c r="T586" s="6"/>
      <c r="AC586" s="5"/>
      <c r="AD586" s="8"/>
      <c r="AE586" s="5"/>
      <c r="AF586" s="5"/>
      <c r="AP586" s="17"/>
      <c r="AQ586" s="8"/>
      <c r="AR586" s="8"/>
      <c r="CA586" s="18"/>
    </row>
    <row r="587" spans="19:79" s="4" customFormat="1" x14ac:dyDescent="0.35">
      <c r="S587" s="6"/>
      <c r="T587" s="6"/>
      <c r="AC587" s="5"/>
      <c r="AD587" s="8"/>
      <c r="AE587" s="5"/>
      <c r="AF587" s="5"/>
      <c r="AP587" s="17"/>
      <c r="AQ587" s="8"/>
      <c r="AR587" s="8"/>
      <c r="CA587" s="18"/>
    </row>
    <row r="588" spans="19:79" s="4" customFormat="1" x14ac:dyDescent="0.35">
      <c r="S588" s="6"/>
      <c r="T588" s="6"/>
      <c r="AC588" s="5"/>
      <c r="AD588" s="8"/>
      <c r="AE588" s="5"/>
      <c r="AF588" s="5"/>
      <c r="AP588" s="17"/>
      <c r="AQ588" s="8"/>
      <c r="AR588" s="8"/>
      <c r="CA588" s="18"/>
    </row>
    <row r="589" spans="19:79" s="4" customFormat="1" x14ac:dyDescent="0.35">
      <c r="S589" s="6"/>
      <c r="T589" s="6"/>
      <c r="AC589" s="5"/>
      <c r="AD589" s="8"/>
      <c r="AE589" s="5"/>
      <c r="AF589" s="5"/>
      <c r="AP589" s="17"/>
      <c r="AQ589" s="8"/>
      <c r="AR589" s="8"/>
      <c r="CA589" s="18"/>
    </row>
    <row r="590" spans="19:79" s="4" customFormat="1" x14ac:dyDescent="0.35">
      <c r="S590" s="6"/>
      <c r="T590" s="6"/>
      <c r="AC590" s="5"/>
      <c r="AD590" s="8"/>
      <c r="AE590" s="5"/>
      <c r="AF590" s="5"/>
      <c r="AP590" s="17"/>
      <c r="AQ590" s="8"/>
      <c r="AR590" s="8"/>
      <c r="CA590" s="18"/>
    </row>
    <row r="591" spans="19:79" s="4" customFormat="1" x14ac:dyDescent="0.35">
      <c r="S591" s="6"/>
      <c r="T591" s="6"/>
      <c r="AC591" s="5"/>
      <c r="AD591" s="8"/>
      <c r="AE591" s="5"/>
      <c r="AF591" s="5"/>
      <c r="AP591" s="17"/>
      <c r="AQ591" s="8"/>
      <c r="AR591" s="8"/>
      <c r="CA591" s="18"/>
    </row>
    <row r="592" spans="19:79" s="4" customFormat="1" x14ac:dyDescent="0.35">
      <c r="S592" s="6"/>
      <c r="T592" s="6"/>
      <c r="AC592" s="5"/>
      <c r="AD592" s="8"/>
      <c r="AE592" s="5"/>
      <c r="AF592" s="5"/>
      <c r="AP592" s="17"/>
      <c r="AQ592" s="8"/>
      <c r="AR592" s="8"/>
      <c r="CA592" s="18"/>
    </row>
    <row r="593" spans="19:79" s="4" customFormat="1" x14ac:dyDescent="0.35">
      <c r="S593" s="6"/>
      <c r="T593" s="6"/>
      <c r="AC593" s="5"/>
      <c r="AD593" s="8"/>
      <c r="AE593" s="5"/>
      <c r="AF593" s="5"/>
      <c r="AP593" s="17"/>
      <c r="AQ593" s="8"/>
      <c r="AR593" s="8"/>
      <c r="CA593" s="18"/>
    </row>
    <row r="594" spans="19:79" s="4" customFormat="1" x14ac:dyDescent="0.35">
      <c r="S594" s="6"/>
      <c r="T594" s="6"/>
      <c r="AC594" s="5"/>
      <c r="AD594" s="8"/>
      <c r="AE594" s="5"/>
      <c r="AF594" s="5"/>
      <c r="AP594" s="17"/>
      <c r="AQ594" s="8"/>
      <c r="AR594" s="8"/>
      <c r="CA594" s="18"/>
    </row>
    <row r="595" spans="19:79" s="4" customFormat="1" x14ac:dyDescent="0.35">
      <c r="S595" s="6"/>
      <c r="T595" s="6"/>
      <c r="AC595" s="5"/>
      <c r="AD595" s="8"/>
      <c r="AE595" s="5"/>
      <c r="AF595" s="5"/>
      <c r="AP595" s="17"/>
      <c r="AQ595" s="8"/>
      <c r="AR595" s="8"/>
      <c r="CA595" s="18"/>
    </row>
    <row r="596" spans="19:79" s="4" customFormat="1" x14ac:dyDescent="0.35">
      <c r="S596" s="6"/>
      <c r="T596" s="6"/>
      <c r="AC596" s="5"/>
      <c r="AD596" s="8"/>
      <c r="AE596" s="5"/>
      <c r="AF596" s="5"/>
      <c r="AP596" s="17"/>
      <c r="AQ596" s="8"/>
      <c r="AR596" s="8"/>
      <c r="CA596" s="18"/>
    </row>
    <row r="597" spans="19:79" s="4" customFormat="1" x14ac:dyDescent="0.35">
      <c r="S597" s="6"/>
      <c r="T597" s="6"/>
      <c r="AC597" s="5"/>
      <c r="AD597" s="8"/>
      <c r="AE597" s="5"/>
      <c r="AF597" s="5"/>
      <c r="AP597" s="17"/>
      <c r="AQ597" s="8"/>
      <c r="AR597" s="8"/>
      <c r="CA597" s="18"/>
    </row>
    <row r="598" spans="19:79" s="4" customFormat="1" x14ac:dyDescent="0.35">
      <c r="S598" s="6"/>
      <c r="T598" s="6"/>
      <c r="AC598" s="5"/>
      <c r="AD598" s="8"/>
      <c r="AE598" s="5"/>
      <c r="AF598" s="5"/>
      <c r="AP598" s="17"/>
      <c r="AQ598" s="8"/>
      <c r="AR598" s="8"/>
      <c r="CA598" s="18"/>
    </row>
    <row r="599" spans="19:79" s="4" customFormat="1" x14ac:dyDescent="0.35">
      <c r="S599" s="6"/>
      <c r="T599" s="6"/>
      <c r="AC599" s="5"/>
      <c r="AD599" s="8"/>
      <c r="AE599" s="5"/>
      <c r="AF599" s="5"/>
      <c r="AP599" s="17"/>
      <c r="AQ599" s="8"/>
      <c r="AR599" s="8"/>
      <c r="CA599" s="18"/>
    </row>
    <row r="600" spans="19:79" s="4" customFormat="1" x14ac:dyDescent="0.35">
      <c r="S600" s="6"/>
      <c r="T600" s="6"/>
      <c r="AC600" s="5"/>
      <c r="AD600" s="8"/>
      <c r="AE600" s="5"/>
      <c r="AF600" s="5"/>
      <c r="AP600" s="17"/>
      <c r="AQ600" s="8"/>
      <c r="AR600" s="8"/>
      <c r="CA600" s="18"/>
    </row>
    <row r="601" spans="19:79" s="4" customFormat="1" x14ac:dyDescent="0.35">
      <c r="S601" s="6"/>
      <c r="T601" s="6"/>
      <c r="AC601" s="5"/>
      <c r="AD601" s="8"/>
      <c r="AE601" s="5"/>
      <c r="AF601" s="5"/>
      <c r="AP601" s="17"/>
      <c r="AQ601" s="8"/>
      <c r="AR601" s="8"/>
      <c r="CA601" s="18"/>
    </row>
    <row r="602" spans="19:79" s="4" customFormat="1" x14ac:dyDescent="0.35">
      <c r="S602" s="6"/>
      <c r="T602" s="6"/>
      <c r="AC602" s="5"/>
      <c r="AD602" s="8"/>
      <c r="AE602" s="5"/>
      <c r="AF602" s="5"/>
      <c r="AP602" s="17"/>
      <c r="AQ602" s="8"/>
      <c r="AR602" s="8"/>
      <c r="CA602" s="18"/>
    </row>
    <row r="603" spans="19:79" s="4" customFormat="1" x14ac:dyDescent="0.35">
      <c r="S603" s="6"/>
      <c r="T603" s="6"/>
      <c r="AC603" s="5"/>
      <c r="AD603" s="8"/>
      <c r="AE603" s="5"/>
      <c r="AF603" s="5"/>
      <c r="AP603" s="17"/>
      <c r="AQ603" s="8"/>
      <c r="AR603" s="8"/>
      <c r="CA603" s="18"/>
    </row>
    <row r="604" spans="19:79" s="4" customFormat="1" x14ac:dyDescent="0.35">
      <c r="S604" s="6"/>
      <c r="T604" s="6"/>
      <c r="AC604" s="5"/>
      <c r="AD604" s="8"/>
      <c r="AE604" s="5"/>
      <c r="AF604" s="5"/>
      <c r="AP604" s="17"/>
      <c r="AQ604" s="8"/>
      <c r="AR604" s="8"/>
      <c r="CA604" s="18"/>
    </row>
    <row r="605" spans="19:79" s="4" customFormat="1" x14ac:dyDescent="0.35">
      <c r="S605" s="6"/>
      <c r="T605" s="6"/>
      <c r="AC605" s="5"/>
      <c r="AD605" s="8"/>
      <c r="AE605" s="5"/>
      <c r="AF605" s="5"/>
      <c r="AP605" s="17"/>
      <c r="AQ605" s="8"/>
      <c r="AR605" s="8"/>
      <c r="CA605" s="18"/>
    </row>
    <row r="606" spans="19:79" s="4" customFormat="1" x14ac:dyDescent="0.35">
      <c r="S606" s="6"/>
      <c r="T606" s="6"/>
      <c r="AC606" s="5"/>
      <c r="AD606" s="8"/>
      <c r="AE606" s="5"/>
      <c r="AF606" s="5"/>
      <c r="AP606" s="17"/>
      <c r="AQ606" s="8"/>
      <c r="AR606" s="8"/>
      <c r="CA606" s="18"/>
    </row>
    <row r="607" spans="19:79" s="4" customFormat="1" x14ac:dyDescent="0.35">
      <c r="S607" s="6"/>
      <c r="T607" s="6"/>
      <c r="AC607" s="5"/>
      <c r="AD607" s="8"/>
      <c r="AE607" s="5"/>
      <c r="AF607" s="5"/>
      <c r="AP607" s="17"/>
      <c r="AQ607" s="8"/>
      <c r="AR607" s="8"/>
      <c r="CA607" s="18"/>
    </row>
    <row r="608" spans="19:79" s="4" customFormat="1" x14ac:dyDescent="0.35">
      <c r="S608" s="6"/>
      <c r="T608" s="6"/>
      <c r="AC608" s="5"/>
      <c r="AD608" s="8"/>
      <c r="AE608" s="5"/>
      <c r="AF608" s="5"/>
      <c r="AP608" s="17"/>
      <c r="AQ608" s="8"/>
      <c r="AR608" s="8"/>
      <c r="CA608" s="18"/>
    </row>
    <row r="609" spans="19:79" s="4" customFormat="1" x14ac:dyDescent="0.35">
      <c r="S609" s="6"/>
      <c r="T609" s="6"/>
      <c r="AC609" s="5"/>
      <c r="AD609" s="8"/>
      <c r="AE609" s="5"/>
      <c r="AF609" s="5"/>
      <c r="AP609" s="17"/>
      <c r="AQ609" s="8"/>
      <c r="AR609" s="8"/>
      <c r="CA609" s="18"/>
    </row>
    <row r="610" spans="19:79" s="4" customFormat="1" x14ac:dyDescent="0.35">
      <c r="S610" s="6"/>
      <c r="T610" s="6"/>
      <c r="AC610" s="5"/>
      <c r="AD610" s="8"/>
      <c r="AE610" s="5"/>
      <c r="AF610" s="5"/>
      <c r="AP610" s="17"/>
      <c r="AQ610" s="8"/>
      <c r="AR610" s="8"/>
      <c r="CA610" s="18"/>
    </row>
    <row r="611" spans="19:79" s="4" customFormat="1" x14ac:dyDescent="0.35">
      <c r="S611" s="6"/>
      <c r="T611" s="6"/>
      <c r="AC611" s="5"/>
      <c r="AD611" s="8"/>
      <c r="AE611" s="5"/>
      <c r="AF611" s="5"/>
      <c r="AP611" s="17"/>
      <c r="AQ611" s="8"/>
      <c r="AR611" s="8"/>
      <c r="CA611" s="18"/>
    </row>
    <row r="612" spans="19:79" s="4" customFormat="1" x14ac:dyDescent="0.35">
      <c r="S612" s="6"/>
      <c r="T612" s="6"/>
      <c r="AC612" s="5"/>
      <c r="AD612" s="8"/>
      <c r="AE612" s="5"/>
      <c r="AF612" s="5"/>
      <c r="AP612" s="17"/>
      <c r="AQ612" s="8"/>
      <c r="AR612" s="8"/>
      <c r="CA612" s="18"/>
    </row>
    <row r="613" spans="19:79" s="4" customFormat="1" x14ac:dyDescent="0.35">
      <c r="S613" s="6"/>
      <c r="T613" s="6"/>
      <c r="AC613" s="5"/>
      <c r="AD613" s="8"/>
      <c r="AE613" s="5"/>
      <c r="AF613" s="5"/>
      <c r="AP613" s="17"/>
      <c r="AQ613" s="8"/>
      <c r="AR613" s="8"/>
      <c r="CA613" s="18"/>
    </row>
    <row r="614" spans="19:79" s="4" customFormat="1" x14ac:dyDescent="0.35">
      <c r="S614" s="6"/>
      <c r="T614" s="6"/>
      <c r="AC614" s="5"/>
      <c r="AD614" s="8"/>
      <c r="AE614" s="5"/>
      <c r="AF614" s="5"/>
      <c r="AP614" s="17"/>
      <c r="AQ614" s="8"/>
      <c r="AR614" s="8"/>
      <c r="CA614" s="18"/>
    </row>
    <row r="615" spans="19:79" s="4" customFormat="1" x14ac:dyDescent="0.35">
      <c r="S615" s="6"/>
      <c r="T615" s="6"/>
      <c r="AC615" s="5"/>
      <c r="AD615" s="8"/>
      <c r="AE615" s="5"/>
      <c r="AF615" s="5"/>
      <c r="AP615" s="17"/>
      <c r="AQ615" s="8"/>
      <c r="AR615" s="8"/>
      <c r="CA615" s="18"/>
    </row>
    <row r="616" spans="19:79" s="4" customFormat="1" x14ac:dyDescent="0.35">
      <c r="S616" s="6"/>
      <c r="T616" s="6"/>
      <c r="AC616" s="5"/>
      <c r="AD616" s="8"/>
      <c r="AE616" s="5"/>
      <c r="AF616" s="5"/>
      <c r="AP616" s="17"/>
      <c r="AQ616" s="8"/>
      <c r="AR616" s="8"/>
      <c r="CA616" s="18"/>
    </row>
    <row r="617" spans="19:79" s="4" customFormat="1" x14ac:dyDescent="0.35">
      <c r="S617" s="6"/>
      <c r="T617" s="6"/>
      <c r="AC617" s="5"/>
      <c r="AD617" s="8"/>
      <c r="AE617" s="5"/>
      <c r="AF617" s="5"/>
      <c r="AP617" s="17"/>
      <c r="AQ617" s="8"/>
      <c r="AR617" s="8"/>
      <c r="CA617" s="18"/>
    </row>
    <row r="618" spans="19:79" s="4" customFormat="1" x14ac:dyDescent="0.35">
      <c r="S618" s="6"/>
      <c r="T618" s="6"/>
      <c r="AC618" s="5"/>
      <c r="AD618" s="8"/>
      <c r="AE618" s="5"/>
      <c r="AF618" s="5"/>
      <c r="AP618" s="17"/>
      <c r="AQ618" s="8"/>
      <c r="AR618" s="8"/>
      <c r="CA618" s="18"/>
    </row>
    <row r="619" spans="19:79" s="4" customFormat="1" x14ac:dyDescent="0.35">
      <c r="S619" s="6"/>
      <c r="T619" s="6"/>
      <c r="AC619" s="5"/>
      <c r="AD619" s="8"/>
      <c r="AE619" s="5"/>
      <c r="AF619" s="5"/>
      <c r="AP619" s="17"/>
      <c r="AQ619" s="8"/>
      <c r="AR619" s="8"/>
      <c r="CA619" s="18"/>
    </row>
    <row r="620" spans="19:79" s="4" customFormat="1" x14ac:dyDescent="0.35">
      <c r="S620" s="6"/>
      <c r="T620" s="6"/>
      <c r="AC620" s="5"/>
      <c r="AD620" s="8"/>
      <c r="AE620" s="5"/>
      <c r="AF620" s="5"/>
      <c r="AP620" s="17"/>
      <c r="AQ620" s="8"/>
      <c r="AR620" s="8"/>
      <c r="CA620" s="18"/>
    </row>
    <row r="621" spans="19:79" s="4" customFormat="1" x14ac:dyDescent="0.35">
      <c r="S621" s="6"/>
      <c r="T621" s="6"/>
      <c r="AC621" s="5"/>
      <c r="AD621" s="8"/>
      <c r="AE621" s="5"/>
      <c r="AF621" s="5"/>
      <c r="AP621" s="17"/>
      <c r="AQ621" s="8"/>
      <c r="AR621" s="8"/>
      <c r="CA621" s="18"/>
    </row>
    <row r="622" spans="19:79" s="4" customFormat="1" x14ac:dyDescent="0.35">
      <c r="S622" s="6"/>
      <c r="T622" s="6"/>
      <c r="AC622" s="5"/>
      <c r="AD622" s="8"/>
      <c r="AE622" s="5"/>
      <c r="AF622" s="5"/>
      <c r="AP622" s="17"/>
      <c r="AQ622" s="8"/>
      <c r="AR622" s="8"/>
      <c r="CA622" s="18"/>
    </row>
    <row r="623" spans="19:79" s="4" customFormat="1" x14ac:dyDescent="0.35">
      <c r="S623" s="6"/>
      <c r="T623" s="6"/>
      <c r="AC623" s="5"/>
      <c r="AD623" s="8"/>
      <c r="AE623" s="5"/>
      <c r="AF623" s="5"/>
      <c r="AP623" s="17"/>
      <c r="AQ623" s="8"/>
      <c r="AR623" s="8"/>
      <c r="CA623" s="18"/>
    </row>
    <row r="624" spans="19:79" s="4" customFormat="1" x14ac:dyDescent="0.35">
      <c r="S624" s="6"/>
      <c r="T624" s="6"/>
      <c r="AC624" s="5"/>
      <c r="AD624" s="8"/>
      <c r="AE624" s="5"/>
      <c r="AF624" s="5"/>
      <c r="AP624" s="17"/>
      <c r="AQ624" s="8"/>
      <c r="AR624" s="8"/>
      <c r="CA624" s="18"/>
    </row>
    <row r="625" spans="19:79" s="4" customFormat="1" x14ac:dyDescent="0.35">
      <c r="S625" s="6"/>
      <c r="T625" s="6"/>
      <c r="AC625" s="5"/>
      <c r="AD625" s="8"/>
      <c r="AE625" s="5"/>
      <c r="AF625" s="5"/>
      <c r="AP625" s="17"/>
      <c r="AQ625" s="8"/>
      <c r="AR625" s="8"/>
      <c r="CA625" s="18"/>
    </row>
    <row r="626" spans="19:79" s="4" customFormat="1" x14ac:dyDescent="0.35">
      <c r="S626" s="6"/>
      <c r="T626" s="6"/>
      <c r="AC626" s="5"/>
      <c r="AD626" s="8"/>
      <c r="AE626" s="5"/>
      <c r="AF626" s="5"/>
      <c r="AP626" s="17"/>
      <c r="AQ626" s="8"/>
      <c r="AR626" s="8"/>
      <c r="CA626" s="18"/>
    </row>
    <row r="627" spans="19:79" s="4" customFormat="1" x14ac:dyDescent="0.35">
      <c r="S627" s="6"/>
      <c r="T627" s="6"/>
      <c r="AC627" s="5"/>
      <c r="AD627" s="8"/>
      <c r="AE627" s="5"/>
      <c r="AF627" s="5"/>
      <c r="AP627" s="17"/>
      <c r="AQ627" s="8"/>
      <c r="AR627" s="8"/>
      <c r="CA627" s="18"/>
    </row>
    <row r="628" spans="19:79" s="4" customFormat="1" x14ac:dyDescent="0.35">
      <c r="S628" s="6"/>
      <c r="T628" s="6"/>
      <c r="AC628" s="5"/>
      <c r="AD628" s="8"/>
      <c r="AE628" s="5"/>
      <c r="AF628" s="5"/>
      <c r="AP628" s="17"/>
      <c r="AQ628" s="8"/>
      <c r="AR628" s="8"/>
      <c r="CA628" s="18"/>
    </row>
    <row r="629" spans="19:79" s="4" customFormat="1" x14ac:dyDescent="0.35">
      <c r="S629" s="6"/>
      <c r="T629" s="6"/>
      <c r="AC629" s="5"/>
      <c r="AD629" s="8"/>
      <c r="AE629" s="5"/>
      <c r="AF629" s="5"/>
      <c r="AP629" s="17"/>
      <c r="AQ629" s="8"/>
      <c r="AR629" s="8"/>
      <c r="CA629" s="18"/>
    </row>
    <row r="630" spans="19:79" s="4" customFormat="1" x14ac:dyDescent="0.35">
      <c r="S630" s="6"/>
      <c r="T630" s="6"/>
      <c r="AC630" s="5"/>
      <c r="AD630" s="8"/>
      <c r="AE630" s="5"/>
      <c r="AF630" s="5"/>
      <c r="AP630" s="17"/>
      <c r="AQ630" s="8"/>
      <c r="AR630" s="8"/>
      <c r="CA630" s="18"/>
    </row>
    <row r="631" spans="19:79" s="4" customFormat="1" x14ac:dyDescent="0.35">
      <c r="S631" s="6"/>
      <c r="T631" s="6"/>
      <c r="AC631" s="5"/>
      <c r="AD631" s="8"/>
      <c r="AE631" s="5"/>
      <c r="AF631" s="5"/>
      <c r="AP631" s="17"/>
      <c r="AQ631" s="8"/>
      <c r="AR631" s="8"/>
      <c r="CA631" s="18"/>
    </row>
    <row r="632" spans="19:79" s="4" customFormat="1" x14ac:dyDescent="0.35">
      <c r="S632" s="6"/>
      <c r="T632" s="6"/>
      <c r="AC632" s="5"/>
      <c r="AD632" s="8"/>
      <c r="AE632" s="5"/>
      <c r="AF632" s="5"/>
      <c r="AP632" s="17"/>
      <c r="AQ632" s="8"/>
      <c r="AR632" s="8"/>
      <c r="CA632" s="18"/>
    </row>
    <row r="633" spans="19:79" s="4" customFormat="1" x14ac:dyDescent="0.35">
      <c r="S633" s="6"/>
      <c r="T633" s="6"/>
      <c r="AC633" s="5"/>
      <c r="AD633" s="8"/>
      <c r="AE633" s="5"/>
      <c r="AF633" s="5"/>
      <c r="AP633" s="17"/>
      <c r="AQ633" s="8"/>
      <c r="AR633" s="8"/>
      <c r="CA633" s="18"/>
    </row>
    <row r="634" spans="19:79" s="4" customFormat="1" x14ac:dyDescent="0.35">
      <c r="S634" s="6"/>
      <c r="T634" s="6"/>
      <c r="AC634" s="5"/>
      <c r="AD634" s="8"/>
      <c r="AE634" s="5"/>
      <c r="AF634" s="5"/>
      <c r="AP634" s="17"/>
      <c r="AQ634" s="8"/>
      <c r="AR634" s="8"/>
      <c r="CA634" s="18"/>
    </row>
    <row r="635" spans="19:79" s="4" customFormat="1" x14ac:dyDescent="0.35">
      <c r="S635" s="6"/>
      <c r="T635" s="6"/>
      <c r="AC635" s="5"/>
      <c r="AD635" s="8"/>
      <c r="AE635" s="5"/>
      <c r="AF635" s="5"/>
      <c r="AP635" s="17"/>
      <c r="AQ635" s="8"/>
      <c r="AR635" s="8"/>
      <c r="CA635" s="18"/>
    </row>
    <row r="636" spans="19:79" s="4" customFormat="1" x14ac:dyDescent="0.35">
      <c r="S636" s="6"/>
      <c r="T636" s="6"/>
      <c r="AC636" s="5"/>
      <c r="AD636" s="8"/>
      <c r="AE636" s="5"/>
      <c r="AF636" s="5"/>
      <c r="AP636" s="17"/>
      <c r="AQ636" s="8"/>
      <c r="AR636" s="8"/>
      <c r="CA636" s="18"/>
    </row>
    <row r="637" spans="19:79" s="4" customFormat="1" x14ac:dyDescent="0.35">
      <c r="S637" s="6"/>
      <c r="T637" s="6"/>
      <c r="AC637" s="5"/>
      <c r="AD637" s="8"/>
      <c r="AE637" s="5"/>
      <c r="AF637" s="5"/>
      <c r="AP637" s="17"/>
      <c r="AQ637" s="8"/>
      <c r="AR637" s="8"/>
      <c r="CA637" s="18"/>
    </row>
    <row r="638" spans="19:79" s="4" customFormat="1" x14ac:dyDescent="0.35">
      <c r="S638" s="6"/>
      <c r="T638" s="6"/>
      <c r="AC638" s="5"/>
      <c r="AD638" s="8"/>
      <c r="AE638" s="5"/>
      <c r="AF638" s="5"/>
      <c r="AP638" s="17"/>
      <c r="AQ638" s="8"/>
      <c r="AR638" s="8"/>
      <c r="CA638" s="18"/>
    </row>
    <row r="639" spans="19:79" s="4" customFormat="1" x14ac:dyDescent="0.35">
      <c r="S639" s="6"/>
      <c r="T639" s="6"/>
      <c r="AC639" s="5"/>
      <c r="AD639" s="8"/>
      <c r="AE639" s="5"/>
      <c r="AF639" s="5"/>
      <c r="AP639" s="17"/>
      <c r="AQ639" s="8"/>
      <c r="AR639" s="8"/>
      <c r="CA639" s="18"/>
    </row>
    <row r="640" spans="19:79" s="4" customFormat="1" x14ac:dyDescent="0.35">
      <c r="S640" s="6"/>
      <c r="T640" s="6"/>
      <c r="AC640" s="5"/>
      <c r="AD640" s="8"/>
      <c r="AE640" s="5"/>
      <c r="AF640" s="5"/>
      <c r="AP640" s="17"/>
      <c r="AQ640" s="8"/>
      <c r="AR640" s="8"/>
      <c r="CA640" s="18"/>
    </row>
    <row r="641" spans="19:79" s="4" customFormat="1" x14ac:dyDescent="0.35">
      <c r="S641" s="6"/>
      <c r="T641" s="6"/>
      <c r="AC641" s="5"/>
      <c r="AD641" s="8"/>
      <c r="AE641" s="5"/>
      <c r="AF641" s="5"/>
      <c r="AP641" s="17"/>
      <c r="AQ641" s="8"/>
      <c r="AR641" s="8"/>
      <c r="CA641" s="18"/>
    </row>
    <row r="642" spans="19:79" s="4" customFormat="1" x14ac:dyDescent="0.35">
      <c r="S642" s="6"/>
      <c r="T642" s="6"/>
      <c r="AC642" s="5"/>
      <c r="AD642" s="8"/>
      <c r="AE642" s="5"/>
      <c r="AF642" s="5"/>
      <c r="AP642" s="17"/>
      <c r="AQ642" s="8"/>
      <c r="AR642" s="8"/>
      <c r="CA642" s="18"/>
    </row>
    <row r="643" spans="19:79" s="4" customFormat="1" x14ac:dyDescent="0.35">
      <c r="S643" s="6"/>
      <c r="T643" s="6"/>
      <c r="AC643" s="5"/>
      <c r="AD643" s="8"/>
      <c r="AE643" s="5"/>
      <c r="AF643" s="5"/>
      <c r="AP643" s="17"/>
      <c r="AQ643" s="8"/>
      <c r="AR643" s="8"/>
      <c r="CA643" s="18"/>
    </row>
    <row r="644" spans="19:79" s="4" customFormat="1" x14ac:dyDescent="0.35">
      <c r="S644" s="6"/>
      <c r="T644" s="6"/>
      <c r="AC644" s="5"/>
      <c r="AD644" s="8"/>
      <c r="AE644" s="5"/>
      <c r="AF644" s="5"/>
      <c r="AP644" s="17"/>
      <c r="AQ644" s="8"/>
      <c r="AR644" s="8"/>
      <c r="CA644" s="18"/>
    </row>
    <row r="645" spans="19:79" s="4" customFormat="1" x14ac:dyDescent="0.35">
      <c r="S645" s="6"/>
      <c r="T645" s="6"/>
      <c r="AC645" s="5"/>
      <c r="AD645" s="8"/>
      <c r="AE645" s="5"/>
      <c r="AF645" s="5"/>
      <c r="AP645" s="17"/>
      <c r="AQ645" s="8"/>
      <c r="AR645" s="8"/>
      <c r="CA645" s="18"/>
    </row>
    <row r="646" spans="19:79" s="4" customFormat="1" x14ac:dyDescent="0.35">
      <c r="S646" s="6"/>
      <c r="T646" s="6"/>
      <c r="AC646" s="5"/>
      <c r="AD646" s="8"/>
      <c r="AE646" s="5"/>
      <c r="AF646" s="5"/>
      <c r="AP646" s="17"/>
      <c r="AQ646" s="8"/>
      <c r="AR646" s="8"/>
      <c r="CA646" s="18"/>
    </row>
    <row r="647" spans="19:79" s="4" customFormat="1" x14ac:dyDescent="0.35">
      <c r="S647" s="6"/>
      <c r="T647" s="6"/>
      <c r="AC647" s="5"/>
      <c r="AD647" s="8"/>
      <c r="AE647" s="5"/>
      <c r="AF647" s="5"/>
      <c r="AP647" s="17"/>
      <c r="AQ647" s="8"/>
      <c r="AR647" s="8"/>
      <c r="CA647" s="18"/>
    </row>
    <row r="648" spans="19:79" s="4" customFormat="1" x14ac:dyDescent="0.35">
      <c r="S648" s="6"/>
      <c r="T648" s="6"/>
      <c r="AC648" s="5"/>
      <c r="AD648" s="8"/>
      <c r="AE648" s="5"/>
      <c r="AF648" s="5"/>
      <c r="AP648" s="17"/>
      <c r="AQ648" s="8"/>
      <c r="AR648" s="8"/>
      <c r="CA648" s="18"/>
    </row>
    <row r="649" spans="19:79" s="4" customFormat="1" x14ac:dyDescent="0.35">
      <c r="S649" s="6"/>
      <c r="T649" s="6"/>
      <c r="AC649" s="5"/>
      <c r="AD649" s="8"/>
      <c r="AE649" s="5"/>
      <c r="AF649" s="5"/>
      <c r="AP649" s="17"/>
      <c r="AQ649" s="8"/>
      <c r="AR649" s="8"/>
      <c r="CA649" s="18"/>
    </row>
    <row r="650" spans="19:79" s="4" customFormat="1" x14ac:dyDescent="0.35">
      <c r="S650" s="6"/>
      <c r="T650" s="6"/>
      <c r="AC650" s="5"/>
      <c r="AD650" s="8"/>
      <c r="AE650" s="5"/>
      <c r="AF650" s="5"/>
      <c r="AP650" s="17"/>
      <c r="AQ650" s="8"/>
      <c r="AR650" s="8"/>
      <c r="CA650" s="18"/>
    </row>
    <row r="651" spans="19:79" s="4" customFormat="1" x14ac:dyDescent="0.35">
      <c r="S651" s="6"/>
      <c r="T651" s="6"/>
      <c r="AC651" s="5"/>
      <c r="AD651" s="8"/>
      <c r="AE651" s="5"/>
      <c r="AF651" s="5"/>
      <c r="AP651" s="17"/>
      <c r="AQ651" s="8"/>
      <c r="AR651" s="8"/>
      <c r="CA651" s="18"/>
    </row>
    <row r="652" spans="19:79" s="4" customFormat="1" x14ac:dyDescent="0.35">
      <c r="S652" s="6"/>
      <c r="T652" s="6"/>
      <c r="AC652" s="5"/>
      <c r="AD652" s="8"/>
      <c r="AE652" s="5"/>
      <c r="AF652" s="5"/>
      <c r="AP652" s="17"/>
      <c r="AQ652" s="8"/>
      <c r="AR652" s="8"/>
      <c r="CA652" s="18"/>
    </row>
    <row r="653" spans="19:79" s="4" customFormat="1" x14ac:dyDescent="0.35">
      <c r="S653" s="6"/>
      <c r="T653" s="6"/>
      <c r="AC653" s="5"/>
      <c r="AD653" s="8"/>
      <c r="AE653" s="5"/>
      <c r="AF653" s="5"/>
      <c r="AP653" s="17"/>
      <c r="AQ653" s="8"/>
      <c r="AR653" s="8"/>
      <c r="CA653" s="18"/>
    </row>
    <row r="654" spans="19:79" s="4" customFormat="1" x14ac:dyDescent="0.35">
      <c r="S654" s="6"/>
      <c r="T654" s="6"/>
      <c r="AC654" s="5"/>
      <c r="AD654" s="8"/>
      <c r="AE654" s="5"/>
      <c r="AF654" s="5"/>
      <c r="AP654" s="17"/>
      <c r="AQ654" s="8"/>
      <c r="AR654" s="8"/>
      <c r="CA654" s="18"/>
    </row>
    <row r="655" spans="19:79" s="4" customFormat="1" x14ac:dyDescent="0.35">
      <c r="S655" s="6"/>
      <c r="T655" s="6"/>
      <c r="AC655" s="5"/>
      <c r="AD655" s="8"/>
      <c r="AE655" s="5"/>
      <c r="AF655" s="5"/>
      <c r="AP655" s="17"/>
      <c r="AQ655" s="8"/>
      <c r="AR655" s="8"/>
      <c r="CA655" s="18"/>
    </row>
    <row r="656" spans="19:79" s="4" customFormat="1" x14ac:dyDescent="0.35">
      <c r="S656" s="6"/>
      <c r="T656" s="6"/>
      <c r="AC656" s="5"/>
      <c r="AD656" s="8"/>
      <c r="AE656" s="5"/>
      <c r="AF656" s="5"/>
      <c r="AP656" s="17"/>
      <c r="AQ656" s="8"/>
      <c r="AR656" s="8"/>
      <c r="CA656" s="18"/>
    </row>
    <row r="657" spans="19:79" s="4" customFormat="1" x14ac:dyDescent="0.35">
      <c r="S657" s="6"/>
      <c r="T657" s="6"/>
      <c r="AC657" s="5"/>
      <c r="AD657" s="8"/>
      <c r="AE657" s="5"/>
      <c r="AF657" s="5"/>
      <c r="AP657" s="17"/>
      <c r="AQ657" s="8"/>
      <c r="AR657" s="8"/>
      <c r="CA657" s="18"/>
    </row>
    <row r="658" spans="19:79" s="4" customFormat="1" x14ac:dyDescent="0.35">
      <c r="S658" s="6"/>
      <c r="T658" s="6"/>
      <c r="AC658" s="5"/>
      <c r="AD658" s="8"/>
      <c r="AE658" s="5"/>
      <c r="AF658" s="5"/>
      <c r="AP658" s="17"/>
      <c r="AQ658" s="8"/>
      <c r="AR658" s="8"/>
      <c r="CA658" s="18"/>
    </row>
    <row r="659" spans="19:79" s="4" customFormat="1" x14ac:dyDescent="0.35">
      <c r="S659" s="6"/>
      <c r="T659" s="6"/>
      <c r="AC659" s="5"/>
      <c r="AD659" s="8"/>
      <c r="AE659" s="5"/>
      <c r="AF659" s="5"/>
      <c r="AP659" s="17"/>
      <c r="AQ659" s="8"/>
      <c r="AR659" s="8"/>
      <c r="CA659" s="18"/>
    </row>
    <row r="660" spans="19:79" s="4" customFormat="1" x14ac:dyDescent="0.35">
      <c r="S660" s="6"/>
      <c r="T660" s="6"/>
      <c r="AC660" s="5"/>
      <c r="AD660" s="8"/>
      <c r="AE660" s="5"/>
      <c r="AF660" s="5"/>
      <c r="AP660" s="17"/>
      <c r="AQ660" s="8"/>
      <c r="AR660" s="8"/>
      <c r="CA660" s="18"/>
    </row>
    <row r="661" spans="19:79" s="4" customFormat="1" x14ac:dyDescent="0.35">
      <c r="S661" s="6"/>
      <c r="T661" s="6"/>
      <c r="AC661" s="5"/>
      <c r="AD661" s="8"/>
      <c r="AE661" s="5"/>
      <c r="AF661" s="5"/>
      <c r="AP661" s="17"/>
      <c r="AQ661" s="8"/>
      <c r="AR661" s="8"/>
      <c r="CA661" s="18"/>
    </row>
    <row r="662" spans="19:79" s="4" customFormat="1" x14ac:dyDescent="0.35">
      <c r="S662" s="6"/>
      <c r="T662" s="6"/>
      <c r="AC662" s="5"/>
      <c r="AD662" s="8"/>
      <c r="AE662" s="5"/>
      <c r="AF662" s="5"/>
      <c r="AP662" s="17"/>
      <c r="AQ662" s="8"/>
      <c r="AR662" s="8"/>
      <c r="CA662" s="18"/>
    </row>
    <row r="663" spans="19:79" s="4" customFormat="1" x14ac:dyDescent="0.35">
      <c r="S663" s="6"/>
      <c r="T663" s="6"/>
      <c r="AC663" s="5"/>
      <c r="AD663" s="8"/>
      <c r="AE663" s="5"/>
      <c r="AF663" s="5"/>
      <c r="AP663" s="17"/>
      <c r="AQ663" s="8"/>
      <c r="AR663" s="8"/>
      <c r="CA663" s="18"/>
    </row>
    <row r="664" spans="19:79" s="4" customFormat="1" x14ac:dyDescent="0.35">
      <c r="S664" s="6"/>
      <c r="T664" s="6"/>
      <c r="AC664" s="5"/>
      <c r="AD664" s="8"/>
      <c r="AE664" s="5"/>
      <c r="AF664" s="5"/>
      <c r="AP664" s="17"/>
      <c r="AQ664" s="8"/>
      <c r="AR664" s="8"/>
      <c r="CA664" s="18"/>
    </row>
    <row r="665" spans="19:79" s="4" customFormat="1" x14ac:dyDescent="0.35">
      <c r="S665" s="6"/>
      <c r="T665" s="6"/>
      <c r="AC665" s="5"/>
      <c r="AD665" s="8"/>
      <c r="AE665" s="5"/>
      <c r="AF665" s="5"/>
      <c r="AP665" s="17"/>
      <c r="AQ665" s="8"/>
      <c r="AR665" s="8"/>
      <c r="CA665" s="18"/>
    </row>
    <row r="666" spans="19:79" s="4" customFormat="1" x14ac:dyDescent="0.35">
      <c r="S666" s="6"/>
      <c r="T666" s="6"/>
      <c r="AC666" s="5"/>
      <c r="AD666" s="8"/>
      <c r="AE666" s="5"/>
      <c r="AF666" s="5"/>
      <c r="AP666" s="17"/>
      <c r="AQ666" s="8"/>
      <c r="AR666" s="8"/>
      <c r="CA666" s="18"/>
    </row>
    <row r="667" spans="19:79" s="4" customFormat="1" x14ac:dyDescent="0.35">
      <c r="S667" s="6"/>
      <c r="T667" s="6"/>
      <c r="AC667" s="5"/>
      <c r="AD667" s="8"/>
      <c r="AE667" s="5"/>
      <c r="AF667" s="5"/>
      <c r="AP667" s="17"/>
      <c r="AQ667" s="8"/>
      <c r="AR667" s="8"/>
      <c r="CA667" s="18"/>
    </row>
    <row r="668" spans="19:79" s="4" customFormat="1" x14ac:dyDescent="0.35">
      <c r="S668" s="6"/>
      <c r="T668" s="6"/>
      <c r="AC668" s="5"/>
      <c r="AD668" s="8"/>
      <c r="AE668" s="5"/>
      <c r="AF668" s="5"/>
      <c r="AP668" s="17"/>
      <c r="AQ668" s="8"/>
      <c r="AR668" s="8"/>
      <c r="CA668" s="18"/>
    </row>
    <row r="669" spans="19:79" s="4" customFormat="1" x14ac:dyDescent="0.35">
      <c r="S669" s="6"/>
      <c r="T669" s="6"/>
      <c r="AC669" s="5"/>
      <c r="AD669" s="8"/>
      <c r="AE669" s="5"/>
      <c r="AF669" s="5"/>
      <c r="AP669" s="17"/>
      <c r="AQ669" s="8"/>
      <c r="AR669" s="8"/>
      <c r="CA669" s="18"/>
    </row>
    <row r="670" spans="19:79" s="4" customFormat="1" x14ac:dyDescent="0.35">
      <c r="S670" s="6"/>
      <c r="T670" s="6"/>
      <c r="AC670" s="5"/>
      <c r="AD670" s="8"/>
      <c r="AE670" s="5"/>
      <c r="AF670" s="5"/>
      <c r="AP670" s="17"/>
      <c r="AQ670" s="8"/>
      <c r="AR670" s="8"/>
      <c r="CA670" s="18"/>
    </row>
    <row r="671" spans="19:79" s="4" customFormat="1" x14ac:dyDescent="0.35">
      <c r="S671" s="6"/>
      <c r="T671" s="6"/>
      <c r="AC671" s="5"/>
      <c r="AD671" s="8"/>
      <c r="AE671" s="5"/>
      <c r="AF671" s="5"/>
      <c r="AP671" s="17"/>
      <c r="AQ671" s="8"/>
      <c r="AR671" s="8"/>
      <c r="CA671" s="18"/>
    </row>
    <row r="672" spans="19:79" s="4" customFormat="1" x14ac:dyDescent="0.35">
      <c r="S672" s="6"/>
      <c r="T672" s="6"/>
      <c r="AC672" s="5"/>
      <c r="AD672" s="8"/>
      <c r="AE672" s="5"/>
      <c r="AF672" s="5"/>
      <c r="AP672" s="17"/>
      <c r="AQ672" s="8"/>
      <c r="AR672" s="8"/>
      <c r="CA672" s="18"/>
    </row>
    <row r="673" spans="19:79" s="4" customFormat="1" x14ac:dyDescent="0.35">
      <c r="S673" s="6"/>
      <c r="T673" s="6"/>
      <c r="AC673" s="5"/>
      <c r="AD673" s="8"/>
      <c r="AE673" s="5"/>
      <c r="AF673" s="5"/>
      <c r="AP673" s="17"/>
      <c r="AQ673" s="8"/>
      <c r="AR673" s="8"/>
      <c r="CA673" s="18"/>
    </row>
    <row r="674" spans="19:79" s="4" customFormat="1" x14ac:dyDescent="0.35">
      <c r="S674" s="6"/>
      <c r="T674" s="6"/>
      <c r="AC674" s="5"/>
      <c r="AD674" s="8"/>
      <c r="AE674" s="5"/>
      <c r="AF674" s="5"/>
      <c r="AP674" s="17"/>
      <c r="AQ674" s="8"/>
      <c r="AR674" s="8"/>
      <c r="CA674" s="18"/>
    </row>
    <row r="675" spans="19:79" s="4" customFormat="1" x14ac:dyDescent="0.35">
      <c r="S675" s="6"/>
      <c r="T675" s="6"/>
      <c r="AC675" s="5"/>
      <c r="AD675" s="8"/>
      <c r="AE675" s="5"/>
      <c r="AF675" s="5"/>
      <c r="AP675" s="17"/>
      <c r="AQ675" s="8"/>
      <c r="AR675" s="8"/>
      <c r="CA675" s="18"/>
    </row>
    <row r="676" spans="19:79" s="4" customFormat="1" x14ac:dyDescent="0.35">
      <c r="S676" s="6"/>
      <c r="T676" s="6"/>
      <c r="AC676" s="5"/>
      <c r="AD676" s="8"/>
      <c r="AE676" s="5"/>
      <c r="AF676" s="5"/>
      <c r="AP676" s="17"/>
      <c r="AQ676" s="8"/>
      <c r="AR676" s="8"/>
      <c r="CA676" s="18"/>
    </row>
    <row r="677" spans="19:79" s="4" customFormat="1" x14ac:dyDescent="0.35">
      <c r="S677" s="6"/>
      <c r="T677" s="6"/>
      <c r="AC677" s="5"/>
      <c r="AD677" s="8"/>
      <c r="AE677" s="5"/>
      <c r="AF677" s="5"/>
      <c r="AP677" s="17"/>
      <c r="AQ677" s="8"/>
      <c r="AR677" s="8"/>
      <c r="CA677" s="18"/>
    </row>
    <row r="678" spans="19:79" s="4" customFormat="1" x14ac:dyDescent="0.35">
      <c r="S678" s="6"/>
      <c r="T678" s="6"/>
      <c r="AC678" s="5"/>
      <c r="AD678" s="8"/>
      <c r="AE678" s="5"/>
      <c r="AF678" s="5"/>
      <c r="AP678" s="17"/>
      <c r="AQ678" s="8"/>
      <c r="AR678" s="8"/>
      <c r="CA678" s="18"/>
    </row>
    <row r="679" spans="19:79" s="4" customFormat="1" x14ac:dyDescent="0.35">
      <c r="S679" s="6"/>
      <c r="T679" s="6"/>
      <c r="AC679" s="5"/>
      <c r="AD679" s="8"/>
      <c r="AE679" s="5"/>
      <c r="AF679" s="5"/>
      <c r="AP679" s="17"/>
      <c r="AQ679" s="8"/>
      <c r="AR679" s="8"/>
      <c r="CA679" s="18"/>
    </row>
    <row r="680" spans="19:79" s="4" customFormat="1" x14ac:dyDescent="0.35">
      <c r="S680" s="6"/>
      <c r="T680" s="6"/>
      <c r="AC680" s="5"/>
      <c r="AD680" s="8"/>
      <c r="AE680" s="5"/>
      <c r="AF680" s="5"/>
      <c r="AP680" s="17"/>
      <c r="AQ680" s="8"/>
      <c r="AR680" s="8"/>
      <c r="CA680" s="18"/>
    </row>
    <row r="681" spans="19:79" s="4" customFormat="1" x14ac:dyDescent="0.35">
      <c r="S681" s="6"/>
      <c r="T681" s="6"/>
      <c r="AC681" s="5"/>
      <c r="AD681" s="8"/>
      <c r="AE681" s="5"/>
      <c r="AF681" s="5"/>
      <c r="AP681" s="17"/>
      <c r="AQ681" s="8"/>
      <c r="AR681" s="8"/>
      <c r="CA681" s="18"/>
    </row>
    <row r="682" spans="19:79" s="4" customFormat="1" x14ac:dyDescent="0.35">
      <c r="S682" s="6"/>
      <c r="T682" s="6"/>
      <c r="AC682" s="5"/>
      <c r="AD682" s="8"/>
      <c r="AE682" s="5"/>
      <c r="AF682" s="5"/>
      <c r="AP682" s="17"/>
      <c r="AQ682" s="8"/>
      <c r="AR682" s="8"/>
      <c r="CA682" s="18"/>
    </row>
    <row r="683" spans="19:79" s="4" customFormat="1" x14ac:dyDescent="0.35">
      <c r="S683" s="6"/>
      <c r="T683" s="6"/>
      <c r="AC683" s="5"/>
      <c r="AD683" s="8"/>
      <c r="AE683" s="5"/>
      <c r="AF683" s="5"/>
      <c r="AP683" s="17"/>
      <c r="AQ683" s="8"/>
      <c r="AR683" s="8"/>
      <c r="CA683" s="18"/>
    </row>
    <row r="684" spans="19:79" s="4" customFormat="1" x14ac:dyDescent="0.35">
      <c r="S684" s="6"/>
      <c r="T684" s="6"/>
      <c r="AC684" s="5"/>
      <c r="AD684" s="8"/>
      <c r="AE684" s="5"/>
      <c r="AF684" s="5"/>
      <c r="AP684" s="17"/>
      <c r="AQ684" s="8"/>
      <c r="AR684" s="8"/>
      <c r="CA684" s="18"/>
    </row>
    <row r="685" spans="19:79" s="4" customFormat="1" x14ac:dyDescent="0.35">
      <c r="S685" s="6"/>
      <c r="T685" s="6"/>
      <c r="AC685" s="5"/>
      <c r="AD685" s="8"/>
      <c r="AE685" s="5"/>
      <c r="AF685" s="5"/>
      <c r="AP685" s="17"/>
      <c r="AQ685" s="8"/>
      <c r="AR685" s="8"/>
      <c r="CA685" s="18"/>
    </row>
    <row r="686" spans="19:79" s="4" customFormat="1" x14ac:dyDescent="0.35">
      <c r="S686" s="6"/>
      <c r="T686" s="6"/>
      <c r="AC686" s="5"/>
      <c r="AD686" s="8"/>
      <c r="AE686" s="5"/>
      <c r="AF686" s="5"/>
      <c r="AP686" s="17"/>
      <c r="AQ686" s="8"/>
      <c r="AR686" s="8"/>
      <c r="CA686" s="18"/>
    </row>
    <row r="687" spans="19:79" s="4" customFormat="1" x14ac:dyDescent="0.35">
      <c r="S687" s="6"/>
      <c r="T687" s="6"/>
      <c r="AC687" s="5"/>
      <c r="AD687" s="8"/>
      <c r="AE687" s="5"/>
      <c r="AF687" s="5"/>
      <c r="AP687" s="17"/>
      <c r="AQ687" s="8"/>
      <c r="AR687" s="8"/>
      <c r="CA687" s="18"/>
    </row>
    <row r="688" spans="19:79" s="4" customFormat="1" x14ac:dyDescent="0.35">
      <c r="S688" s="6"/>
      <c r="T688" s="6"/>
      <c r="AC688" s="5"/>
      <c r="AD688" s="8"/>
      <c r="AE688" s="5"/>
      <c r="AF688" s="5"/>
      <c r="AP688" s="17"/>
      <c r="AQ688" s="8"/>
      <c r="AR688" s="8"/>
      <c r="CA688" s="18"/>
    </row>
    <row r="689" spans="19:79" s="4" customFormat="1" x14ac:dyDescent="0.35">
      <c r="S689" s="6"/>
      <c r="T689" s="6"/>
      <c r="AC689" s="5"/>
      <c r="AD689" s="8"/>
      <c r="AE689" s="5"/>
      <c r="AF689" s="5"/>
      <c r="AP689" s="17"/>
      <c r="AQ689" s="8"/>
      <c r="AR689" s="8"/>
      <c r="CA689" s="18"/>
    </row>
    <row r="690" spans="19:79" s="4" customFormat="1" x14ac:dyDescent="0.35">
      <c r="S690" s="6"/>
      <c r="T690" s="6"/>
      <c r="AC690" s="5"/>
      <c r="AD690" s="8"/>
      <c r="AE690" s="5"/>
      <c r="AF690" s="5"/>
      <c r="AP690" s="17"/>
      <c r="AQ690" s="8"/>
      <c r="AR690" s="8"/>
      <c r="CA690" s="18"/>
    </row>
    <row r="691" spans="19:79" s="4" customFormat="1" x14ac:dyDescent="0.35">
      <c r="S691" s="6"/>
      <c r="T691" s="6"/>
      <c r="AC691" s="5"/>
      <c r="AD691" s="8"/>
      <c r="AE691" s="5"/>
      <c r="AF691" s="5"/>
      <c r="AP691" s="17"/>
      <c r="AQ691" s="8"/>
      <c r="AR691" s="8"/>
      <c r="CA691" s="18"/>
    </row>
    <row r="692" spans="19:79" s="4" customFormat="1" x14ac:dyDescent="0.35">
      <c r="S692" s="6"/>
      <c r="T692" s="6"/>
      <c r="AC692" s="5"/>
      <c r="AD692" s="8"/>
      <c r="AE692" s="5"/>
      <c r="AF692" s="5"/>
      <c r="AP692" s="17"/>
      <c r="AQ692" s="8"/>
      <c r="AR692" s="8"/>
      <c r="CA692" s="18"/>
    </row>
    <row r="693" spans="19:79" s="4" customFormat="1" x14ac:dyDescent="0.35">
      <c r="S693" s="6"/>
      <c r="T693" s="6"/>
      <c r="AC693" s="5"/>
      <c r="AD693" s="8"/>
      <c r="AE693" s="5"/>
      <c r="AF693" s="5"/>
      <c r="AP693" s="17"/>
      <c r="AQ693" s="8"/>
      <c r="AR693" s="8"/>
      <c r="CA693" s="18"/>
    </row>
    <row r="694" spans="19:79" s="4" customFormat="1" x14ac:dyDescent="0.35">
      <c r="S694" s="6"/>
      <c r="T694" s="6"/>
      <c r="AC694" s="5"/>
      <c r="AD694" s="8"/>
      <c r="AE694" s="5"/>
      <c r="AF694" s="5"/>
      <c r="AP694" s="17"/>
      <c r="AQ694" s="8"/>
      <c r="AR694" s="8"/>
      <c r="CA694" s="18"/>
    </row>
    <row r="695" spans="19:79" s="4" customFormat="1" x14ac:dyDescent="0.35">
      <c r="S695" s="6"/>
      <c r="T695" s="6"/>
      <c r="AC695" s="5"/>
      <c r="AD695" s="8"/>
      <c r="AE695" s="5"/>
      <c r="AF695" s="5"/>
      <c r="AP695" s="17"/>
      <c r="AQ695" s="8"/>
      <c r="AR695" s="8"/>
      <c r="CA695" s="18"/>
    </row>
    <row r="696" spans="19:79" s="4" customFormat="1" x14ac:dyDescent="0.35">
      <c r="S696" s="6"/>
      <c r="T696" s="6"/>
      <c r="AC696" s="5"/>
      <c r="AD696" s="8"/>
      <c r="AE696" s="5"/>
      <c r="AF696" s="5"/>
      <c r="AP696" s="17"/>
      <c r="AQ696" s="8"/>
      <c r="AR696" s="8"/>
      <c r="CA696" s="18"/>
    </row>
    <row r="697" spans="19:79" s="4" customFormat="1" x14ac:dyDescent="0.35">
      <c r="S697" s="6"/>
      <c r="T697" s="6"/>
      <c r="AC697" s="5"/>
      <c r="AD697" s="8"/>
      <c r="AE697" s="5"/>
      <c r="AF697" s="5"/>
      <c r="AP697" s="17"/>
      <c r="AQ697" s="8"/>
      <c r="AR697" s="8"/>
      <c r="CA697" s="18"/>
    </row>
    <row r="698" spans="19:79" s="4" customFormat="1" x14ac:dyDescent="0.35">
      <c r="S698" s="6"/>
      <c r="T698" s="6"/>
      <c r="AC698" s="5"/>
      <c r="AD698" s="8"/>
      <c r="AE698" s="5"/>
      <c r="AF698" s="5"/>
      <c r="AP698" s="17"/>
      <c r="AQ698" s="8"/>
      <c r="AR698" s="8"/>
      <c r="CA698" s="18"/>
    </row>
    <row r="699" spans="19:79" s="4" customFormat="1" x14ac:dyDescent="0.35">
      <c r="S699" s="6"/>
      <c r="T699" s="6"/>
      <c r="AC699" s="5"/>
      <c r="AD699" s="8"/>
      <c r="AE699" s="5"/>
      <c r="AF699" s="5"/>
      <c r="AP699" s="17"/>
      <c r="AQ699" s="8"/>
      <c r="AR699" s="8"/>
      <c r="CA699" s="18"/>
    </row>
    <row r="700" spans="19:79" s="4" customFormat="1" x14ac:dyDescent="0.35">
      <c r="S700" s="6"/>
      <c r="T700" s="6"/>
      <c r="AC700" s="5"/>
      <c r="AD700" s="8"/>
      <c r="AE700" s="5"/>
      <c r="AF700" s="5"/>
      <c r="AP700" s="17"/>
      <c r="AQ700" s="8"/>
      <c r="AR700" s="8"/>
      <c r="CA700" s="18"/>
    </row>
    <row r="701" spans="19:79" s="4" customFormat="1" x14ac:dyDescent="0.35">
      <c r="S701" s="6"/>
      <c r="T701" s="6"/>
      <c r="AC701" s="5"/>
      <c r="AD701" s="8"/>
      <c r="AE701" s="5"/>
      <c r="AF701" s="5"/>
      <c r="AP701" s="17"/>
      <c r="AQ701" s="8"/>
      <c r="AR701" s="8"/>
      <c r="CA701" s="18"/>
    </row>
    <row r="702" spans="19:79" s="4" customFormat="1" x14ac:dyDescent="0.35">
      <c r="S702" s="6"/>
      <c r="T702" s="6"/>
      <c r="AC702" s="5"/>
      <c r="AD702" s="8"/>
      <c r="AE702" s="5"/>
      <c r="AF702" s="5"/>
      <c r="AP702" s="17"/>
      <c r="AQ702" s="8"/>
      <c r="AR702" s="8"/>
      <c r="CA702" s="18"/>
    </row>
    <row r="703" spans="19:79" s="4" customFormat="1" x14ac:dyDescent="0.35">
      <c r="S703" s="6"/>
      <c r="T703" s="6"/>
      <c r="AC703" s="5"/>
      <c r="AD703" s="8"/>
      <c r="AE703" s="5"/>
      <c r="AF703" s="5"/>
      <c r="AP703" s="17"/>
      <c r="AQ703" s="8"/>
      <c r="AR703" s="8"/>
      <c r="CA703" s="18"/>
    </row>
    <row r="704" spans="19:79" s="4" customFormat="1" x14ac:dyDescent="0.35">
      <c r="S704" s="6"/>
      <c r="T704" s="6"/>
      <c r="AC704" s="5"/>
      <c r="AD704" s="8"/>
      <c r="AE704" s="5"/>
      <c r="AF704" s="5"/>
      <c r="AP704" s="17"/>
      <c r="AQ704" s="8"/>
      <c r="AR704" s="8"/>
      <c r="CA704" s="18"/>
    </row>
    <row r="705" spans="19:79" s="4" customFormat="1" x14ac:dyDescent="0.35">
      <c r="S705" s="6"/>
      <c r="T705" s="6"/>
      <c r="AC705" s="5"/>
      <c r="AD705" s="8"/>
      <c r="AE705" s="5"/>
      <c r="AF705" s="5"/>
      <c r="AP705" s="17"/>
      <c r="AQ705" s="8"/>
      <c r="AR705" s="8"/>
      <c r="CA705" s="18"/>
    </row>
    <row r="706" spans="19:79" s="4" customFormat="1" x14ac:dyDescent="0.35">
      <c r="S706" s="6"/>
      <c r="T706" s="6"/>
      <c r="AC706" s="5"/>
      <c r="AD706" s="8"/>
      <c r="AE706" s="5"/>
      <c r="AF706" s="5"/>
      <c r="AP706" s="17"/>
      <c r="AQ706" s="8"/>
      <c r="AR706" s="8"/>
      <c r="CA706" s="18"/>
    </row>
    <row r="707" spans="19:79" s="4" customFormat="1" x14ac:dyDescent="0.35">
      <c r="S707" s="6"/>
      <c r="T707" s="6"/>
      <c r="AC707" s="5"/>
      <c r="AD707" s="8"/>
      <c r="AE707" s="5"/>
      <c r="AF707" s="5"/>
      <c r="AP707" s="17"/>
      <c r="AQ707" s="8"/>
      <c r="AR707" s="8"/>
      <c r="CA707" s="18"/>
    </row>
    <row r="708" spans="19:79" s="4" customFormat="1" x14ac:dyDescent="0.35">
      <c r="S708" s="6"/>
      <c r="T708" s="6"/>
      <c r="AC708" s="5"/>
      <c r="AD708" s="8"/>
      <c r="AE708" s="5"/>
      <c r="AF708" s="5"/>
      <c r="AP708" s="17"/>
      <c r="AQ708" s="8"/>
      <c r="AR708" s="8"/>
      <c r="CA708" s="18"/>
    </row>
    <row r="709" spans="19:79" s="4" customFormat="1" x14ac:dyDescent="0.35">
      <c r="S709" s="6"/>
      <c r="T709" s="6"/>
      <c r="AC709" s="5"/>
      <c r="AD709" s="8"/>
      <c r="AE709" s="5"/>
      <c r="AF709" s="5"/>
      <c r="AP709" s="17"/>
      <c r="AQ709" s="8"/>
      <c r="AR709" s="8"/>
      <c r="CA709" s="18"/>
    </row>
    <row r="710" spans="19:79" s="4" customFormat="1" x14ac:dyDescent="0.35">
      <c r="S710" s="6"/>
      <c r="T710" s="6"/>
      <c r="AC710" s="5"/>
      <c r="AD710" s="8"/>
      <c r="AE710" s="5"/>
      <c r="AF710" s="5"/>
      <c r="AP710" s="17"/>
      <c r="AQ710" s="8"/>
      <c r="AR710" s="8"/>
      <c r="CA710" s="18"/>
    </row>
    <row r="711" spans="19:79" s="4" customFormat="1" x14ac:dyDescent="0.35">
      <c r="S711" s="6"/>
      <c r="T711" s="6"/>
      <c r="AC711" s="5"/>
      <c r="AD711" s="8"/>
      <c r="AE711" s="5"/>
      <c r="AF711" s="5"/>
      <c r="AP711" s="17"/>
      <c r="AQ711" s="8"/>
      <c r="AR711" s="8"/>
      <c r="CA711" s="18"/>
    </row>
    <row r="712" spans="19:79" s="4" customFormat="1" x14ac:dyDescent="0.35">
      <c r="S712" s="6"/>
      <c r="T712" s="6"/>
      <c r="AC712" s="5"/>
      <c r="AD712" s="8"/>
      <c r="AE712" s="5"/>
      <c r="AF712" s="5"/>
      <c r="AP712" s="17"/>
      <c r="AQ712" s="8"/>
      <c r="AR712" s="8"/>
      <c r="CA712" s="18"/>
    </row>
    <row r="713" spans="19:79" s="4" customFormat="1" x14ac:dyDescent="0.35">
      <c r="S713" s="6"/>
      <c r="T713" s="6"/>
      <c r="AC713" s="5"/>
      <c r="AD713" s="8"/>
      <c r="AE713" s="5"/>
      <c r="AF713" s="5"/>
      <c r="AP713" s="17"/>
      <c r="AQ713" s="8"/>
      <c r="AR713" s="8"/>
      <c r="CA713" s="18"/>
    </row>
    <row r="714" spans="19:79" s="4" customFormat="1" x14ac:dyDescent="0.35">
      <c r="S714" s="6"/>
      <c r="T714" s="6"/>
      <c r="AC714" s="5"/>
      <c r="AD714" s="8"/>
      <c r="AE714" s="5"/>
      <c r="AF714" s="5"/>
      <c r="AP714" s="17"/>
      <c r="AQ714" s="8"/>
      <c r="AR714" s="8"/>
      <c r="CA714" s="18"/>
    </row>
    <row r="715" spans="19:79" s="4" customFormat="1" x14ac:dyDescent="0.35">
      <c r="S715" s="6"/>
      <c r="T715" s="6"/>
      <c r="AC715" s="5"/>
      <c r="AD715" s="8"/>
      <c r="AE715" s="5"/>
      <c r="AF715" s="5"/>
      <c r="AP715" s="17"/>
      <c r="AQ715" s="8"/>
      <c r="AR715" s="8"/>
      <c r="CA715" s="18"/>
    </row>
    <row r="716" spans="19:79" s="4" customFormat="1" x14ac:dyDescent="0.35">
      <c r="S716" s="6"/>
      <c r="T716" s="6"/>
      <c r="AC716" s="5"/>
      <c r="AD716" s="8"/>
      <c r="AE716" s="5"/>
      <c r="AF716" s="5"/>
      <c r="AP716" s="17"/>
      <c r="AQ716" s="8"/>
      <c r="AR716" s="8"/>
      <c r="CA716" s="18"/>
    </row>
    <row r="717" spans="19:79" s="4" customFormat="1" x14ac:dyDescent="0.35">
      <c r="S717" s="6"/>
      <c r="T717" s="6"/>
      <c r="AC717" s="5"/>
      <c r="AD717" s="8"/>
      <c r="AE717" s="5"/>
      <c r="AF717" s="5"/>
      <c r="AP717" s="17"/>
      <c r="AQ717" s="8"/>
      <c r="AR717" s="8"/>
      <c r="CA717" s="18"/>
    </row>
    <row r="718" spans="19:79" s="4" customFormat="1" x14ac:dyDescent="0.35">
      <c r="S718" s="6"/>
      <c r="T718" s="6"/>
      <c r="AC718" s="5"/>
      <c r="AD718" s="8"/>
      <c r="AE718" s="5"/>
      <c r="AF718" s="5"/>
      <c r="AP718" s="17"/>
      <c r="AQ718" s="8"/>
      <c r="AR718" s="8"/>
      <c r="CA718" s="18"/>
    </row>
    <row r="719" spans="19:79" s="4" customFormat="1" x14ac:dyDescent="0.35">
      <c r="S719" s="6"/>
      <c r="T719" s="6"/>
      <c r="AC719" s="5"/>
      <c r="AD719" s="8"/>
      <c r="AE719" s="5"/>
      <c r="AF719" s="5"/>
      <c r="AP719" s="17"/>
      <c r="AQ719" s="8"/>
      <c r="AR719" s="8"/>
      <c r="CA719" s="18"/>
    </row>
    <row r="720" spans="19:79" s="4" customFormat="1" x14ac:dyDescent="0.35">
      <c r="S720" s="6"/>
      <c r="T720" s="6"/>
      <c r="AC720" s="5"/>
      <c r="AD720" s="8"/>
      <c r="AE720" s="5"/>
      <c r="AF720" s="5"/>
      <c r="AP720" s="17"/>
      <c r="AQ720" s="8"/>
      <c r="AR720" s="8"/>
      <c r="CA720" s="18"/>
    </row>
    <row r="721" spans="19:79" s="4" customFormat="1" x14ac:dyDescent="0.35">
      <c r="S721" s="6"/>
      <c r="T721" s="6"/>
      <c r="AC721" s="5"/>
      <c r="AD721" s="8"/>
      <c r="AE721" s="5"/>
      <c r="AF721" s="5"/>
      <c r="AP721" s="17"/>
      <c r="AQ721" s="8"/>
      <c r="AR721" s="8"/>
      <c r="CA721" s="18"/>
    </row>
    <row r="722" spans="19:79" s="4" customFormat="1" x14ac:dyDescent="0.35">
      <c r="S722" s="6"/>
      <c r="T722" s="6"/>
      <c r="AC722" s="5"/>
      <c r="AD722" s="8"/>
      <c r="AE722" s="5"/>
      <c r="AF722" s="5"/>
      <c r="AP722" s="17"/>
      <c r="AQ722" s="8"/>
      <c r="AR722" s="8"/>
      <c r="CA722" s="18"/>
    </row>
    <row r="723" spans="19:79" s="4" customFormat="1" x14ac:dyDescent="0.35">
      <c r="S723" s="6"/>
      <c r="T723" s="6"/>
      <c r="AC723" s="5"/>
      <c r="AD723" s="8"/>
      <c r="AE723" s="5"/>
      <c r="AF723" s="5"/>
      <c r="AP723" s="17"/>
      <c r="AQ723" s="8"/>
      <c r="AR723" s="8"/>
      <c r="CA723" s="18"/>
    </row>
    <row r="724" spans="19:79" s="4" customFormat="1" x14ac:dyDescent="0.35">
      <c r="S724" s="6"/>
      <c r="T724" s="6"/>
      <c r="AC724" s="5"/>
      <c r="AD724" s="8"/>
      <c r="AE724" s="5"/>
      <c r="AF724" s="5"/>
      <c r="AP724" s="17"/>
      <c r="AQ724" s="8"/>
      <c r="AR724" s="8"/>
      <c r="CA724" s="18"/>
    </row>
    <row r="725" spans="19:79" s="4" customFormat="1" x14ac:dyDescent="0.35">
      <c r="S725" s="6"/>
      <c r="T725" s="6"/>
      <c r="AC725" s="5"/>
      <c r="AD725" s="8"/>
      <c r="AE725" s="5"/>
      <c r="AF725" s="5"/>
      <c r="AP725" s="17"/>
      <c r="AQ725" s="8"/>
      <c r="AR725" s="8"/>
      <c r="CA725" s="18"/>
    </row>
    <row r="726" spans="19:79" s="4" customFormat="1" x14ac:dyDescent="0.35">
      <c r="S726" s="6"/>
      <c r="T726" s="6"/>
      <c r="AC726" s="5"/>
      <c r="AD726" s="8"/>
      <c r="AE726" s="5"/>
      <c r="AF726" s="5"/>
      <c r="AP726" s="17"/>
      <c r="AQ726" s="8"/>
      <c r="AR726" s="8"/>
      <c r="CA726" s="18"/>
    </row>
    <row r="727" spans="19:79" s="4" customFormat="1" x14ac:dyDescent="0.35">
      <c r="S727" s="6"/>
      <c r="T727" s="6"/>
      <c r="AC727" s="5"/>
      <c r="AD727" s="8"/>
      <c r="AE727" s="5"/>
      <c r="AF727" s="5"/>
      <c r="AP727" s="17"/>
      <c r="AQ727" s="8"/>
      <c r="AR727" s="8"/>
      <c r="CA727" s="18"/>
    </row>
    <row r="728" spans="19:79" s="4" customFormat="1" x14ac:dyDescent="0.35">
      <c r="S728" s="6"/>
      <c r="T728" s="6"/>
      <c r="AC728" s="5"/>
      <c r="AD728" s="8"/>
      <c r="AE728" s="5"/>
      <c r="AF728" s="5"/>
      <c r="AP728" s="17"/>
      <c r="AQ728" s="8"/>
      <c r="AR728" s="8"/>
      <c r="CA728" s="18"/>
    </row>
    <row r="729" spans="19:79" s="4" customFormat="1" x14ac:dyDescent="0.35">
      <c r="S729" s="6"/>
      <c r="T729" s="6"/>
      <c r="AC729" s="5"/>
      <c r="AD729" s="8"/>
      <c r="AE729" s="5"/>
      <c r="AF729" s="5"/>
      <c r="AP729" s="17"/>
      <c r="AQ729" s="8"/>
      <c r="AR729" s="8"/>
      <c r="CA729" s="18"/>
    </row>
    <row r="730" spans="19:79" s="4" customFormat="1" x14ac:dyDescent="0.35">
      <c r="S730" s="6"/>
      <c r="T730" s="6"/>
      <c r="AC730" s="5"/>
      <c r="AD730" s="8"/>
      <c r="AE730" s="5"/>
      <c r="AF730" s="5"/>
      <c r="AP730" s="17"/>
      <c r="AQ730" s="8"/>
      <c r="AR730" s="8"/>
      <c r="CA730" s="18"/>
    </row>
    <row r="731" spans="19:79" s="4" customFormat="1" x14ac:dyDescent="0.35">
      <c r="S731" s="6"/>
      <c r="T731" s="6"/>
      <c r="AC731" s="5"/>
      <c r="AD731" s="8"/>
      <c r="AE731" s="5"/>
      <c r="AF731" s="5"/>
      <c r="AP731" s="17"/>
      <c r="AQ731" s="8"/>
      <c r="AR731" s="8"/>
      <c r="CA731" s="18"/>
    </row>
    <row r="732" spans="19:79" s="4" customFormat="1" x14ac:dyDescent="0.35">
      <c r="S732" s="6"/>
      <c r="T732" s="6"/>
      <c r="AC732" s="5"/>
      <c r="AD732" s="8"/>
      <c r="AE732" s="5"/>
      <c r="AF732" s="5"/>
      <c r="AP732" s="17"/>
      <c r="AQ732" s="8"/>
      <c r="AR732" s="8"/>
      <c r="CA732" s="18"/>
    </row>
    <row r="733" spans="19:79" s="4" customFormat="1" x14ac:dyDescent="0.35">
      <c r="S733" s="6"/>
      <c r="T733" s="6"/>
      <c r="AC733" s="5"/>
      <c r="AD733" s="8"/>
      <c r="AE733" s="5"/>
      <c r="AF733" s="5"/>
      <c r="AP733" s="17"/>
      <c r="AQ733" s="8"/>
      <c r="AR733" s="8"/>
      <c r="CA733" s="18"/>
    </row>
    <row r="734" spans="19:79" s="4" customFormat="1" x14ac:dyDescent="0.35">
      <c r="S734" s="6"/>
      <c r="T734" s="6"/>
      <c r="AC734" s="5"/>
      <c r="AD734" s="8"/>
      <c r="AE734" s="5"/>
      <c r="AF734" s="5"/>
      <c r="AP734" s="17"/>
      <c r="AQ734" s="8"/>
      <c r="AR734" s="8"/>
      <c r="CA734" s="18"/>
    </row>
    <row r="735" spans="19:79" s="4" customFormat="1" x14ac:dyDescent="0.35">
      <c r="S735" s="6"/>
      <c r="T735" s="6"/>
      <c r="AC735" s="5"/>
      <c r="AD735" s="8"/>
      <c r="AE735" s="5"/>
      <c r="AF735" s="5"/>
      <c r="AP735" s="17"/>
      <c r="AQ735" s="8"/>
      <c r="AR735" s="8"/>
      <c r="CA735" s="18"/>
    </row>
    <row r="736" spans="19:79" s="4" customFormat="1" x14ac:dyDescent="0.35">
      <c r="S736" s="6"/>
      <c r="T736" s="6"/>
      <c r="AC736" s="5"/>
      <c r="AD736" s="8"/>
      <c r="AE736" s="5"/>
      <c r="AF736" s="5"/>
      <c r="AP736" s="17"/>
      <c r="AQ736" s="8"/>
      <c r="AR736" s="8"/>
      <c r="CA736" s="18"/>
    </row>
    <row r="737" spans="19:79" s="4" customFormat="1" x14ac:dyDescent="0.35">
      <c r="S737" s="6"/>
      <c r="T737" s="6"/>
      <c r="AC737" s="5"/>
      <c r="AD737" s="8"/>
      <c r="AE737" s="5"/>
      <c r="AF737" s="5"/>
      <c r="AP737" s="17"/>
      <c r="AQ737" s="8"/>
      <c r="AR737" s="8"/>
      <c r="CA737" s="18"/>
    </row>
    <row r="738" spans="19:79" s="4" customFormat="1" x14ac:dyDescent="0.35">
      <c r="S738" s="6"/>
      <c r="T738" s="6"/>
      <c r="AC738" s="5"/>
      <c r="AD738" s="8"/>
      <c r="AE738" s="5"/>
      <c r="AF738" s="5"/>
      <c r="AP738" s="17"/>
      <c r="AQ738" s="8"/>
      <c r="AR738" s="8"/>
      <c r="CA738" s="18"/>
    </row>
    <row r="739" spans="19:79" s="4" customFormat="1" x14ac:dyDescent="0.35">
      <c r="S739" s="6"/>
      <c r="T739" s="6"/>
      <c r="AC739" s="5"/>
      <c r="AD739" s="8"/>
      <c r="AE739" s="5"/>
      <c r="AF739" s="5"/>
      <c r="AP739" s="17"/>
      <c r="AQ739" s="8"/>
      <c r="AR739" s="8"/>
      <c r="CA739" s="18"/>
    </row>
    <row r="740" spans="19:79" s="4" customFormat="1" x14ac:dyDescent="0.35">
      <c r="S740" s="6"/>
      <c r="T740" s="6"/>
      <c r="AC740" s="5"/>
      <c r="AD740" s="8"/>
      <c r="AE740" s="5"/>
      <c r="AF740" s="5"/>
      <c r="AP740" s="17"/>
      <c r="AQ740" s="8"/>
      <c r="AR740" s="8"/>
      <c r="CA740" s="18"/>
    </row>
    <row r="741" spans="19:79" s="4" customFormat="1" x14ac:dyDescent="0.35">
      <c r="S741" s="6"/>
      <c r="T741" s="6"/>
      <c r="AC741" s="5"/>
      <c r="AD741" s="8"/>
      <c r="AE741" s="5"/>
      <c r="AF741" s="5"/>
      <c r="AP741" s="17"/>
      <c r="AQ741" s="8"/>
      <c r="AR741" s="8"/>
      <c r="CA741" s="18"/>
    </row>
    <row r="742" spans="19:79" s="4" customFormat="1" x14ac:dyDescent="0.35">
      <c r="S742" s="6"/>
      <c r="T742" s="6"/>
      <c r="AC742" s="5"/>
      <c r="AD742" s="8"/>
      <c r="AE742" s="5"/>
      <c r="AF742" s="5"/>
      <c r="AP742" s="17"/>
      <c r="AQ742" s="8"/>
      <c r="AR742" s="8"/>
      <c r="CA742" s="18"/>
    </row>
    <row r="743" spans="19:79" s="4" customFormat="1" x14ac:dyDescent="0.35">
      <c r="S743" s="6"/>
      <c r="T743" s="6"/>
      <c r="AC743" s="5"/>
      <c r="AD743" s="8"/>
      <c r="AE743" s="5"/>
      <c r="AF743" s="5"/>
      <c r="AP743" s="17"/>
      <c r="AQ743" s="8"/>
      <c r="AR743" s="8"/>
      <c r="CA743" s="18"/>
    </row>
    <row r="744" spans="19:79" s="4" customFormat="1" x14ac:dyDescent="0.35">
      <c r="S744" s="6"/>
      <c r="T744" s="6"/>
      <c r="AC744" s="5"/>
      <c r="AD744" s="8"/>
      <c r="AE744" s="5"/>
      <c r="AF744" s="5"/>
      <c r="AP744" s="17"/>
      <c r="AQ744" s="8"/>
      <c r="AR744" s="8"/>
      <c r="CA744" s="18"/>
    </row>
    <row r="745" spans="19:79" s="4" customFormat="1" x14ac:dyDescent="0.35">
      <c r="S745" s="6"/>
      <c r="T745" s="6"/>
      <c r="AC745" s="5"/>
      <c r="AD745" s="8"/>
      <c r="AE745" s="5"/>
      <c r="AF745" s="5"/>
      <c r="AP745" s="17"/>
      <c r="AQ745" s="8"/>
      <c r="AR745" s="8"/>
      <c r="CA745" s="18"/>
    </row>
    <row r="746" spans="19:79" s="4" customFormat="1" x14ac:dyDescent="0.35">
      <c r="S746" s="6"/>
      <c r="T746" s="6"/>
      <c r="AC746" s="5"/>
      <c r="AD746" s="8"/>
      <c r="AE746" s="5"/>
      <c r="AF746" s="5"/>
      <c r="AP746" s="17"/>
      <c r="AQ746" s="8"/>
      <c r="AR746" s="8"/>
      <c r="CA746" s="18"/>
    </row>
    <row r="747" spans="19:79" s="4" customFormat="1" x14ac:dyDescent="0.35">
      <c r="S747" s="6"/>
      <c r="T747" s="6"/>
      <c r="AC747" s="5"/>
      <c r="AD747" s="8"/>
      <c r="AE747" s="5"/>
      <c r="AF747" s="5"/>
      <c r="AP747" s="17"/>
      <c r="AQ747" s="8"/>
      <c r="AR747" s="8"/>
      <c r="CA747" s="18"/>
    </row>
    <row r="748" spans="19:79" s="4" customFormat="1" x14ac:dyDescent="0.35">
      <c r="S748" s="6"/>
      <c r="T748" s="6"/>
      <c r="AC748" s="5"/>
      <c r="AD748" s="8"/>
      <c r="AE748" s="5"/>
      <c r="AF748" s="5"/>
      <c r="AP748" s="17"/>
      <c r="AQ748" s="8"/>
      <c r="AR748" s="8"/>
      <c r="CA748" s="18"/>
    </row>
    <row r="749" spans="19:79" s="4" customFormat="1" x14ac:dyDescent="0.35">
      <c r="S749" s="6"/>
      <c r="T749" s="6"/>
      <c r="AC749" s="5"/>
      <c r="AD749" s="8"/>
      <c r="AE749" s="5"/>
      <c r="AF749" s="5"/>
      <c r="AP749" s="17"/>
      <c r="AQ749" s="8"/>
      <c r="AR749" s="8"/>
      <c r="CA749" s="18"/>
    </row>
    <row r="750" spans="19:79" s="4" customFormat="1" x14ac:dyDescent="0.35">
      <c r="S750" s="6"/>
      <c r="T750" s="6"/>
      <c r="AC750" s="5"/>
      <c r="AD750" s="8"/>
      <c r="AE750" s="5"/>
      <c r="AF750" s="5"/>
      <c r="AP750" s="17"/>
      <c r="AQ750" s="8"/>
      <c r="AR750" s="8"/>
      <c r="CA750" s="18"/>
    </row>
    <row r="751" spans="19:79" s="4" customFormat="1" x14ac:dyDescent="0.35">
      <c r="S751" s="6"/>
      <c r="T751" s="6"/>
      <c r="AC751" s="5"/>
      <c r="AD751" s="8"/>
      <c r="AE751" s="5"/>
      <c r="AF751" s="5"/>
      <c r="AP751" s="17"/>
      <c r="AQ751" s="8"/>
      <c r="AR751" s="8"/>
      <c r="CA751" s="18"/>
    </row>
    <row r="752" spans="19:79" s="4" customFormat="1" x14ac:dyDescent="0.35">
      <c r="S752" s="6"/>
      <c r="T752" s="6"/>
      <c r="AC752" s="5"/>
      <c r="AD752" s="8"/>
      <c r="AE752" s="5"/>
      <c r="AF752" s="5"/>
      <c r="AP752" s="17"/>
      <c r="AQ752" s="8"/>
      <c r="AR752" s="8"/>
      <c r="CA752" s="18"/>
    </row>
    <row r="753" spans="19:79" s="4" customFormat="1" x14ac:dyDescent="0.35">
      <c r="S753" s="6"/>
      <c r="T753" s="6"/>
      <c r="AC753" s="5"/>
      <c r="AD753" s="8"/>
      <c r="AE753" s="5"/>
      <c r="AF753" s="5"/>
      <c r="AP753" s="17"/>
      <c r="AQ753" s="8"/>
      <c r="AR753" s="8"/>
      <c r="CA753" s="18"/>
    </row>
    <row r="754" spans="19:79" s="4" customFormat="1" x14ac:dyDescent="0.35">
      <c r="S754" s="6"/>
      <c r="T754" s="6"/>
      <c r="AC754" s="5"/>
      <c r="AD754" s="8"/>
      <c r="AE754" s="5"/>
      <c r="AF754" s="5"/>
      <c r="AP754" s="17"/>
      <c r="AQ754" s="8"/>
      <c r="AR754" s="8"/>
      <c r="CA754" s="18"/>
    </row>
    <row r="755" spans="19:79" s="4" customFormat="1" x14ac:dyDescent="0.35">
      <c r="S755" s="6"/>
      <c r="T755" s="6"/>
      <c r="AC755" s="5"/>
      <c r="AD755" s="8"/>
      <c r="AE755" s="5"/>
      <c r="AF755" s="5"/>
      <c r="AP755" s="17"/>
      <c r="AQ755" s="8"/>
      <c r="AR755" s="8"/>
      <c r="CA755" s="18"/>
    </row>
    <row r="756" spans="19:79" s="4" customFormat="1" x14ac:dyDescent="0.35">
      <c r="S756" s="6"/>
      <c r="T756" s="6"/>
      <c r="AC756" s="5"/>
      <c r="AD756" s="8"/>
      <c r="AE756" s="5"/>
      <c r="AF756" s="5"/>
      <c r="AP756" s="17"/>
      <c r="AQ756" s="8"/>
      <c r="AR756" s="8"/>
      <c r="CA756" s="18"/>
    </row>
    <row r="757" spans="19:79" s="4" customFormat="1" x14ac:dyDescent="0.35">
      <c r="S757" s="6"/>
      <c r="T757" s="6"/>
      <c r="AC757" s="5"/>
      <c r="AD757" s="8"/>
      <c r="AE757" s="5"/>
      <c r="AF757" s="5"/>
      <c r="AP757" s="17"/>
      <c r="AQ757" s="8"/>
      <c r="AR757" s="8"/>
      <c r="CA757" s="18"/>
    </row>
    <row r="758" spans="19:79" s="4" customFormat="1" x14ac:dyDescent="0.35">
      <c r="S758" s="6"/>
      <c r="T758" s="6"/>
      <c r="AC758" s="5"/>
      <c r="AD758" s="8"/>
      <c r="AE758" s="5"/>
      <c r="AF758" s="5"/>
      <c r="AP758" s="17"/>
      <c r="AQ758" s="8"/>
      <c r="AR758" s="8"/>
      <c r="CA758" s="18"/>
    </row>
    <row r="759" spans="19:79" s="4" customFormat="1" x14ac:dyDescent="0.35">
      <c r="S759" s="6"/>
      <c r="T759" s="6"/>
      <c r="AC759" s="5"/>
      <c r="AD759" s="8"/>
      <c r="AE759" s="5"/>
      <c r="AF759" s="5"/>
      <c r="AP759" s="17"/>
      <c r="AQ759" s="8"/>
      <c r="AR759" s="8"/>
      <c r="CA759" s="18"/>
    </row>
    <row r="760" spans="19:79" s="4" customFormat="1" x14ac:dyDescent="0.35">
      <c r="S760" s="6"/>
      <c r="T760" s="6"/>
      <c r="AC760" s="5"/>
      <c r="AD760" s="8"/>
      <c r="AE760" s="5"/>
      <c r="AF760" s="5"/>
      <c r="AP760" s="17"/>
      <c r="AQ760" s="8"/>
      <c r="AR760" s="8"/>
      <c r="CA760" s="18"/>
    </row>
    <row r="761" spans="19:79" s="4" customFormat="1" x14ac:dyDescent="0.35">
      <c r="S761" s="6"/>
      <c r="T761" s="6"/>
      <c r="AC761" s="5"/>
      <c r="AD761" s="8"/>
      <c r="AE761" s="5"/>
      <c r="AF761" s="5"/>
      <c r="AP761" s="17"/>
      <c r="AQ761" s="8"/>
      <c r="AR761" s="8"/>
      <c r="CA761" s="18"/>
    </row>
    <row r="762" spans="19:79" s="4" customFormat="1" x14ac:dyDescent="0.35">
      <c r="S762" s="6"/>
      <c r="T762" s="6"/>
      <c r="AC762" s="5"/>
      <c r="AD762" s="8"/>
      <c r="AE762" s="5"/>
      <c r="AF762" s="5"/>
      <c r="AP762" s="17"/>
      <c r="AQ762" s="8"/>
      <c r="AR762" s="8"/>
      <c r="CA762" s="18"/>
    </row>
    <row r="763" spans="19:79" s="4" customFormat="1" x14ac:dyDescent="0.35">
      <c r="S763" s="6"/>
      <c r="T763" s="6"/>
      <c r="AC763" s="5"/>
      <c r="AD763" s="8"/>
      <c r="AE763" s="5"/>
      <c r="AF763" s="5"/>
      <c r="AP763" s="17"/>
      <c r="AQ763" s="8"/>
      <c r="AR763" s="8"/>
      <c r="CA763" s="18"/>
    </row>
    <row r="764" spans="19:79" s="4" customFormat="1" x14ac:dyDescent="0.35">
      <c r="S764" s="6"/>
      <c r="T764" s="6"/>
      <c r="AC764" s="5"/>
      <c r="AD764" s="8"/>
      <c r="AE764" s="5"/>
      <c r="AF764" s="5"/>
      <c r="AP764" s="17"/>
      <c r="AQ764" s="8"/>
      <c r="AR764" s="8"/>
      <c r="CA764" s="18"/>
    </row>
    <row r="765" spans="19:79" s="4" customFormat="1" x14ac:dyDescent="0.35">
      <c r="S765" s="6"/>
      <c r="T765" s="6"/>
      <c r="AC765" s="5"/>
      <c r="AD765" s="8"/>
      <c r="AE765" s="5"/>
      <c r="AF765" s="5"/>
      <c r="AP765" s="17"/>
      <c r="AQ765" s="8"/>
      <c r="AR765" s="8"/>
      <c r="CA765" s="18"/>
    </row>
    <row r="766" spans="19:79" s="4" customFormat="1" x14ac:dyDescent="0.35">
      <c r="S766" s="6"/>
      <c r="T766" s="6"/>
      <c r="AC766" s="5"/>
      <c r="AD766" s="8"/>
      <c r="AE766" s="5"/>
      <c r="AF766" s="5"/>
      <c r="AP766" s="17"/>
      <c r="AQ766" s="8"/>
      <c r="AR766" s="8"/>
      <c r="CA766" s="18"/>
    </row>
    <row r="767" spans="19:79" s="4" customFormat="1" x14ac:dyDescent="0.35">
      <c r="S767" s="6"/>
      <c r="T767" s="6"/>
      <c r="AC767" s="5"/>
      <c r="AD767" s="8"/>
      <c r="AE767" s="5"/>
      <c r="AF767" s="5"/>
      <c r="AP767" s="17"/>
      <c r="AQ767" s="8"/>
      <c r="AR767" s="8"/>
      <c r="CA767" s="18"/>
    </row>
    <row r="768" spans="19:79" s="4" customFormat="1" x14ac:dyDescent="0.35">
      <c r="S768" s="6"/>
      <c r="T768" s="6"/>
      <c r="AC768" s="5"/>
      <c r="AD768" s="8"/>
      <c r="AE768" s="5"/>
      <c r="AF768" s="5"/>
      <c r="AP768" s="17"/>
      <c r="AQ768" s="8"/>
      <c r="AR768" s="8"/>
      <c r="CA768" s="18"/>
    </row>
    <row r="769" spans="19:79" s="4" customFormat="1" x14ac:dyDescent="0.35">
      <c r="S769" s="6"/>
      <c r="T769" s="6"/>
      <c r="AC769" s="5"/>
      <c r="AD769" s="8"/>
      <c r="AE769" s="5"/>
      <c r="AF769" s="5"/>
      <c r="AP769" s="17"/>
      <c r="AQ769" s="8"/>
      <c r="AR769" s="8"/>
      <c r="CA769" s="18"/>
    </row>
    <row r="770" spans="19:79" s="4" customFormat="1" x14ac:dyDescent="0.35">
      <c r="S770" s="6"/>
      <c r="T770" s="6"/>
      <c r="AC770" s="5"/>
      <c r="AD770" s="8"/>
      <c r="AE770" s="5"/>
      <c r="AF770" s="5"/>
      <c r="AP770" s="17"/>
      <c r="AQ770" s="8"/>
      <c r="AR770" s="8"/>
      <c r="CA770" s="18"/>
    </row>
    <row r="771" spans="19:79" s="4" customFormat="1" x14ac:dyDescent="0.35">
      <c r="S771" s="6"/>
      <c r="T771" s="6"/>
      <c r="AC771" s="5"/>
      <c r="AD771" s="8"/>
      <c r="AE771" s="5"/>
      <c r="AF771" s="5"/>
      <c r="AP771" s="17"/>
      <c r="AQ771" s="8"/>
      <c r="AR771" s="8"/>
      <c r="CA771" s="18"/>
    </row>
    <row r="772" spans="19:79" s="4" customFormat="1" x14ac:dyDescent="0.35">
      <c r="S772" s="6"/>
      <c r="T772" s="6"/>
      <c r="AC772" s="5"/>
      <c r="AD772" s="8"/>
      <c r="AE772" s="5"/>
      <c r="AF772" s="5"/>
      <c r="AP772" s="17"/>
      <c r="AQ772" s="8"/>
      <c r="AR772" s="8"/>
      <c r="CA772" s="18"/>
    </row>
    <row r="773" spans="19:79" s="4" customFormat="1" x14ac:dyDescent="0.35">
      <c r="S773" s="6"/>
      <c r="T773" s="6"/>
      <c r="AC773" s="5"/>
      <c r="AD773" s="8"/>
      <c r="AE773" s="5"/>
      <c r="AF773" s="5"/>
      <c r="AP773" s="17"/>
      <c r="AQ773" s="8"/>
      <c r="AR773" s="8"/>
      <c r="CA773" s="18"/>
    </row>
    <row r="774" spans="19:79" s="4" customFormat="1" x14ac:dyDescent="0.35">
      <c r="S774" s="6"/>
      <c r="T774" s="6"/>
      <c r="AC774" s="5"/>
      <c r="AD774" s="8"/>
      <c r="AE774" s="5"/>
      <c r="AF774" s="5"/>
      <c r="AP774" s="17"/>
      <c r="AQ774" s="8"/>
      <c r="AR774" s="8"/>
      <c r="CA774" s="18"/>
    </row>
    <row r="775" spans="19:79" s="4" customFormat="1" x14ac:dyDescent="0.35">
      <c r="S775" s="6"/>
      <c r="T775" s="6"/>
      <c r="AC775" s="5"/>
      <c r="AD775" s="8"/>
      <c r="AE775" s="5"/>
      <c r="AF775" s="5"/>
      <c r="AP775" s="17"/>
      <c r="AQ775" s="8"/>
      <c r="AR775" s="8"/>
      <c r="CA775" s="18"/>
    </row>
    <row r="776" spans="19:79" s="4" customFormat="1" x14ac:dyDescent="0.35">
      <c r="S776" s="6"/>
      <c r="T776" s="6"/>
      <c r="AC776" s="5"/>
      <c r="AD776" s="8"/>
      <c r="AE776" s="5"/>
      <c r="AF776" s="5"/>
      <c r="AP776" s="17"/>
      <c r="AQ776" s="8"/>
      <c r="AR776" s="8"/>
      <c r="CA776" s="18"/>
    </row>
    <row r="777" spans="19:79" s="4" customFormat="1" x14ac:dyDescent="0.35">
      <c r="S777" s="6"/>
      <c r="T777" s="6"/>
      <c r="AC777" s="5"/>
      <c r="AD777" s="8"/>
      <c r="AE777" s="5"/>
      <c r="AF777" s="5"/>
      <c r="AP777" s="17"/>
      <c r="AQ777" s="8"/>
      <c r="AR777" s="8"/>
      <c r="CA777" s="18"/>
    </row>
    <row r="778" spans="19:79" s="4" customFormat="1" x14ac:dyDescent="0.35">
      <c r="S778" s="6"/>
      <c r="T778" s="6"/>
      <c r="AC778" s="5"/>
      <c r="AD778" s="8"/>
      <c r="AE778" s="5"/>
      <c r="AF778" s="5"/>
      <c r="AP778" s="17"/>
      <c r="AQ778" s="8"/>
      <c r="AR778" s="8"/>
      <c r="CA778" s="18"/>
    </row>
    <row r="779" spans="19:79" s="4" customFormat="1" x14ac:dyDescent="0.35">
      <c r="S779" s="6"/>
      <c r="T779" s="6"/>
      <c r="AC779" s="5"/>
      <c r="AD779" s="8"/>
      <c r="AE779" s="5"/>
      <c r="AF779" s="5"/>
      <c r="AP779" s="17"/>
      <c r="AQ779" s="8"/>
      <c r="AR779" s="8"/>
      <c r="CA779" s="18"/>
    </row>
    <row r="780" spans="19:79" s="4" customFormat="1" x14ac:dyDescent="0.35">
      <c r="S780" s="6"/>
      <c r="T780" s="6"/>
      <c r="AC780" s="5"/>
      <c r="AD780" s="8"/>
      <c r="AE780" s="5"/>
      <c r="AF780" s="5"/>
      <c r="AP780" s="17"/>
      <c r="AQ780" s="8"/>
      <c r="AR780" s="8"/>
      <c r="CA780" s="18"/>
    </row>
    <row r="781" spans="19:79" s="4" customFormat="1" x14ac:dyDescent="0.35">
      <c r="S781" s="6"/>
      <c r="T781" s="6"/>
      <c r="AC781" s="5"/>
      <c r="AD781" s="8"/>
      <c r="AE781" s="5"/>
      <c r="AF781" s="5"/>
      <c r="AP781" s="17"/>
      <c r="AQ781" s="8"/>
      <c r="AR781" s="8"/>
      <c r="CA781" s="18"/>
    </row>
    <row r="782" spans="19:79" s="4" customFormat="1" x14ac:dyDescent="0.35">
      <c r="S782" s="6"/>
      <c r="T782" s="6"/>
      <c r="AC782" s="5"/>
      <c r="AD782" s="8"/>
      <c r="AE782" s="5"/>
      <c r="AF782" s="5"/>
      <c r="AP782" s="17"/>
      <c r="AQ782" s="8"/>
      <c r="AR782" s="8"/>
      <c r="CA782" s="18"/>
    </row>
    <row r="783" spans="19:79" s="4" customFormat="1" x14ac:dyDescent="0.35">
      <c r="S783" s="6"/>
      <c r="T783" s="6"/>
      <c r="AC783" s="5"/>
      <c r="AD783" s="8"/>
      <c r="AE783" s="5"/>
      <c r="AF783" s="5"/>
      <c r="AP783" s="17"/>
      <c r="AQ783" s="8"/>
      <c r="AR783" s="8"/>
      <c r="CA783" s="18"/>
    </row>
    <row r="784" spans="19:79" s="4" customFormat="1" x14ac:dyDescent="0.35">
      <c r="S784" s="6"/>
      <c r="T784" s="6"/>
      <c r="AC784" s="5"/>
      <c r="AD784" s="8"/>
      <c r="AE784" s="5"/>
      <c r="AF784" s="5"/>
      <c r="AP784" s="17"/>
      <c r="AQ784" s="8"/>
      <c r="AR784" s="8"/>
      <c r="CA784" s="18"/>
    </row>
    <row r="785" spans="19:79" s="4" customFormat="1" x14ac:dyDescent="0.35">
      <c r="S785" s="6"/>
      <c r="T785" s="6"/>
      <c r="AC785" s="5"/>
      <c r="AD785" s="8"/>
      <c r="AE785" s="5"/>
      <c r="AF785" s="5"/>
      <c r="AP785" s="17"/>
      <c r="AQ785" s="8"/>
      <c r="AR785" s="8"/>
      <c r="CA785" s="18"/>
    </row>
    <row r="786" spans="19:79" s="4" customFormat="1" x14ac:dyDescent="0.35">
      <c r="S786" s="6"/>
      <c r="T786" s="6"/>
      <c r="AC786" s="5"/>
      <c r="AD786" s="8"/>
      <c r="AE786" s="5"/>
      <c r="AF786" s="5"/>
      <c r="AP786" s="17"/>
      <c r="AQ786" s="8"/>
      <c r="AR786" s="8"/>
      <c r="CA786" s="18"/>
    </row>
    <row r="787" spans="19:79" s="4" customFormat="1" x14ac:dyDescent="0.35">
      <c r="S787" s="6"/>
      <c r="T787" s="6"/>
      <c r="AC787" s="5"/>
      <c r="AD787" s="8"/>
      <c r="AE787" s="5"/>
      <c r="AF787" s="5"/>
      <c r="AP787" s="17"/>
      <c r="AQ787" s="8"/>
      <c r="AR787" s="8"/>
      <c r="CA787" s="18"/>
    </row>
    <row r="788" spans="19:79" s="4" customFormat="1" x14ac:dyDescent="0.35">
      <c r="S788" s="6"/>
      <c r="T788" s="6"/>
      <c r="AC788" s="5"/>
      <c r="AD788" s="8"/>
      <c r="AE788" s="5"/>
      <c r="AF788" s="5"/>
      <c r="AP788" s="17"/>
      <c r="AQ788" s="8"/>
      <c r="AR788" s="8"/>
      <c r="CA788" s="18"/>
    </row>
    <row r="789" spans="19:79" s="4" customFormat="1" x14ac:dyDescent="0.35">
      <c r="S789" s="6"/>
      <c r="T789" s="6"/>
      <c r="AC789" s="5"/>
      <c r="AD789" s="8"/>
      <c r="AE789" s="5"/>
      <c r="AF789" s="5"/>
      <c r="AP789" s="17"/>
      <c r="AQ789" s="8"/>
      <c r="AR789" s="8"/>
      <c r="CA789" s="18"/>
    </row>
    <row r="790" spans="19:79" s="4" customFormat="1" x14ac:dyDescent="0.35">
      <c r="S790" s="6"/>
      <c r="T790" s="6"/>
      <c r="AC790" s="5"/>
      <c r="AD790" s="8"/>
      <c r="AE790" s="5"/>
      <c r="AF790" s="5"/>
      <c r="AP790" s="17"/>
      <c r="AQ790" s="8"/>
      <c r="AR790" s="8"/>
      <c r="CA790" s="18"/>
    </row>
    <row r="791" spans="19:79" s="4" customFormat="1" x14ac:dyDescent="0.35">
      <c r="S791" s="6"/>
      <c r="T791" s="6"/>
      <c r="AC791" s="5"/>
      <c r="AD791" s="8"/>
      <c r="AE791" s="5"/>
      <c r="AF791" s="5"/>
      <c r="AP791" s="17"/>
      <c r="AQ791" s="8"/>
      <c r="AR791" s="8"/>
      <c r="CA791" s="18"/>
    </row>
    <row r="792" spans="19:79" s="4" customFormat="1" x14ac:dyDescent="0.35">
      <c r="S792" s="6"/>
      <c r="T792" s="6"/>
      <c r="AC792" s="5"/>
      <c r="AD792" s="8"/>
      <c r="AE792" s="5"/>
      <c r="AF792" s="5"/>
      <c r="AP792" s="17"/>
      <c r="AQ792" s="8"/>
      <c r="AR792" s="8"/>
      <c r="CA792" s="18"/>
    </row>
    <row r="793" spans="19:79" s="4" customFormat="1" x14ac:dyDescent="0.35">
      <c r="S793" s="6"/>
      <c r="T793" s="6"/>
      <c r="AC793" s="5"/>
      <c r="AD793" s="8"/>
      <c r="AE793" s="5"/>
      <c r="AF793" s="5"/>
      <c r="AP793" s="17"/>
      <c r="AQ793" s="8"/>
      <c r="AR793" s="8"/>
      <c r="CA793" s="18"/>
    </row>
    <row r="794" spans="19:79" s="4" customFormat="1" x14ac:dyDescent="0.35">
      <c r="S794" s="6"/>
      <c r="T794" s="6"/>
      <c r="AC794" s="5"/>
      <c r="AD794" s="8"/>
      <c r="AE794" s="5"/>
      <c r="AF794" s="5"/>
      <c r="AP794" s="17"/>
      <c r="AQ794" s="8"/>
      <c r="AR794" s="8"/>
      <c r="CA794" s="18"/>
    </row>
    <row r="795" spans="19:79" s="4" customFormat="1" x14ac:dyDescent="0.35">
      <c r="S795" s="6"/>
      <c r="T795" s="6"/>
      <c r="AC795" s="5"/>
      <c r="AD795" s="8"/>
      <c r="AE795" s="5"/>
      <c r="AF795" s="5"/>
      <c r="AP795" s="17"/>
      <c r="AQ795" s="8"/>
      <c r="AR795" s="8"/>
      <c r="CA795" s="18"/>
    </row>
    <row r="796" spans="19:79" s="4" customFormat="1" x14ac:dyDescent="0.35">
      <c r="S796" s="6"/>
      <c r="T796" s="6"/>
      <c r="AC796" s="5"/>
      <c r="AD796" s="8"/>
      <c r="AE796" s="5"/>
      <c r="AF796" s="5"/>
      <c r="AP796" s="17"/>
      <c r="AQ796" s="8"/>
      <c r="AR796" s="8"/>
      <c r="CA796" s="18"/>
    </row>
    <row r="797" spans="19:79" s="4" customFormat="1" x14ac:dyDescent="0.35">
      <c r="S797" s="6"/>
      <c r="T797" s="6"/>
      <c r="AC797" s="5"/>
      <c r="AD797" s="8"/>
      <c r="AE797" s="5"/>
      <c r="AF797" s="5"/>
      <c r="AP797" s="17"/>
      <c r="AQ797" s="8"/>
      <c r="AR797" s="8"/>
      <c r="CA797" s="18"/>
    </row>
    <row r="798" spans="19:79" s="4" customFormat="1" x14ac:dyDescent="0.35">
      <c r="S798" s="6"/>
      <c r="T798" s="6"/>
      <c r="AC798" s="5"/>
      <c r="AD798" s="8"/>
      <c r="AE798" s="5"/>
      <c r="AF798" s="5"/>
      <c r="AP798" s="17"/>
      <c r="AQ798" s="8"/>
      <c r="AR798" s="8"/>
      <c r="CA798" s="18"/>
    </row>
    <row r="799" spans="19:79" s="4" customFormat="1" x14ac:dyDescent="0.35">
      <c r="S799" s="6"/>
      <c r="T799" s="6"/>
      <c r="AC799" s="5"/>
      <c r="AD799" s="8"/>
      <c r="AE799" s="5"/>
      <c r="AF799" s="5"/>
      <c r="AP799" s="17"/>
      <c r="AQ799" s="8"/>
      <c r="AR799" s="8"/>
      <c r="CA799" s="18"/>
    </row>
    <row r="800" spans="19:79" s="4" customFormat="1" x14ac:dyDescent="0.35">
      <c r="S800" s="6"/>
      <c r="T800" s="6"/>
      <c r="AC800" s="5"/>
      <c r="AD800" s="8"/>
      <c r="AE800" s="5"/>
      <c r="AF800" s="5"/>
      <c r="AP800" s="17"/>
      <c r="AQ800" s="8"/>
      <c r="AR800" s="8"/>
      <c r="CA800" s="18"/>
    </row>
    <row r="801" spans="19:79" s="4" customFormat="1" x14ac:dyDescent="0.35">
      <c r="S801" s="6"/>
      <c r="T801" s="6"/>
      <c r="AC801" s="5"/>
      <c r="AD801" s="8"/>
      <c r="AE801" s="5"/>
      <c r="AF801" s="5"/>
      <c r="AP801" s="17"/>
      <c r="AQ801" s="8"/>
      <c r="AR801" s="8"/>
      <c r="CA801" s="18"/>
    </row>
    <row r="802" spans="19:79" s="4" customFormat="1" x14ac:dyDescent="0.35">
      <c r="S802" s="6"/>
      <c r="T802" s="6"/>
      <c r="AC802" s="5"/>
      <c r="AD802" s="8"/>
      <c r="AE802" s="5"/>
      <c r="AF802" s="5"/>
      <c r="AP802" s="17"/>
      <c r="AQ802" s="8"/>
      <c r="AR802" s="8"/>
      <c r="CA802" s="18"/>
    </row>
    <row r="803" spans="19:79" s="4" customFormat="1" x14ac:dyDescent="0.35">
      <c r="S803" s="6"/>
      <c r="T803" s="6"/>
      <c r="AC803" s="5"/>
      <c r="AD803" s="8"/>
      <c r="AE803" s="5"/>
      <c r="AF803" s="5"/>
      <c r="AP803" s="17"/>
      <c r="AQ803" s="8"/>
      <c r="AR803" s="8"/>
      <c r="CA803" s="18"/>
    </row>
    <row r="804" spans="19:79" s="4" customFormat="1" x14ac:dyDescent="0.35">
      <c r="S804" s="6"/>
      <c r="T804" s="6"/>
      <c r="AC804" s="5"/>
      <c r="AD804" s="8"/>
      <c r="AE804" s="5"/>
      <c r="AF804" s="5"/>
      <c r="AP804" s="17"/>
      <c r="AQ804" s="8"/>
      <c r="AR804" s="8"/>
      <c r="CA804" s="18"/>
    </row>
    <row r="805" spans="19:79" s="4" customFormat="1" x14ac:dyDescent="0.35">
      <c r="S805" s="6"/>
      <c r="T805" s="6"/>
      <c r="AC805" s="5"/>
      <c r="AD805" s="8"/>
      <c r="AE805" s="5"/>
      <c r="AF805" s="5"/>
      <c r="AP805" s="17"/>
      <c r="AQ805" s="8"/>
      <c r="AR805" s="8"/>
      <c r="CA805" s="18"/>
    </row>
    <row r="806" spans="19:79" s="4" customFormat="1" x14ac:dyDescent="0.35">
      <c r="S806" s="6"/>
      <c r="T806" s="6"/>
      <c r="AC806" s="5"/>
      <c r="AD806" s="8"/>
      <c r="AE806" s="5"/>
      <c r="AF806" s="5"/>
      <c r="AP806" s="17"/>
      <c r="AQ806" s="8"/>
      <c r="AR806" s="8"/>
      <c r="CA806" s="18"/>
    </row>
    <row r="807" spans="19:79" s="4" customFormat="1" x14ac:dyDescent="0.35">
      <c r="S807" s="6"/>
      <c r="T807" s="6"/>
      <c r="AC807" s="5"/>
      <c r="AD807" s="8"/>
      <c r="AE807" s="5"/>
      <c r="AF807" s="5"/>
      <c r="AP807" s="17"/>
      <c r="AQ807" s="8"/>
      <c r="AR807" s="8"/>
      <c r="CA807" s="18"/>
    </row>
    <row r="808" spans="19:79" s="4" customFormat="1" x14ac:dyDescent="0.35">
      <c r="S808" s="6"/>
      <c r="T808" s="6"/>
      <c r="AC808" s="5"/>
      <c r="AD808" s="8"/>
      <c r="AE808" s="5"/>
      <c r="AF808" s="5"/>
      <c r="AP808" s="17"/>
      <c r="AQ808" s="8"/>
      <c r="AR808" s="8"/>
      <c r="CA808" s="18"/>
    </row>
    <row r="809" spans="19:79" s="4" customFormat="1" x14ac:dyDescent="0.35">
      <c r="S809" s="6"/>
      <c r="T809" s="6"/>
      <c r="AC809" s="5"/>
      <c r="AD809" s="8"/>
      <c r="AE809" s="5"/>
      <c r="AF809" s="5"/>
      <c r="AP809" s="17"/>
      <c r="AQ809" s="8"/>
      <c r="AR809" s="8"/>
      <c r="CA809" s="18"/>
    </row>
    <row r="810" spans="19:79" s="4" customFormat="1" x14ac:dyDescent="0.35">
      <c r="S810" s="6"/>
      <c r="T810" s="6"/>
      <c r="AC810" s="5"/>
      <c r="AD810" s="8"/>
      <c r="AE810" s="5"/>
      <c r="AF810" s="5"/>
      <c r="AP810" s="17"/>
      <c r="AQ810" s="8"/>
      <c r="AR810" s="8"/>
      <c r="CA810" s="18"/>
    </row>
    <row r="811" spans="19:79" s="4" customFormat="1" x14ac:dyDescent="0.35">
      <c r="S811" s="6"/>
      <c r="T811" s="6"/>
      <c r="AC811" s="5"/>
      <c r="AD811" s="8"/>
      <c r="AE811" s="5"/>
      <c r="AF811" s="5"/>
      <c r="AP811" s="17"/>
      <c r="AQ811" s="8"/>
      <c r="AR811" s="8"/>
      <c r="CA811" s="18"/>
    </row>
    <row r="812" spans="19:79" s="4" customFormat="1" x14ac:dyDescent="0.35">
      <c r="S812" s="6"/>
      <c r="T812" s="6"/>
      <c r="AC812" s="5"/>
      <c r="AD812" s="8"/>
      <c r="AE812" s="5"/>
      <c r="AF812" s="5"/>
      <c r="AP812" s="17"/>
      <c r="AQ812" s="8"/>
      <c r="AR812" s="8"/>
      <c r="CA812" s="18"/>
    </row>
    <row r="813" spans="19:79" s="4" customFormat="1" x14ac:dyDescent="0.35">
      <c r="S813" s="6"/>
      <c r="T813" s="6"/>
      <c r="AC813" s="5"/>
      <c r="AD813" s="8"/>
      <c r="AE813" s="5"/>
      <c r="AF813" s="5"/>
      <c r="AP813" s="17"/>
      <c r="AQ813" s="8"/>
      <c r="AR813" s="8"/>
      <c r="CA813" s="18"/>
    </row>
    <row r="814" spans="19:79" s="4" customFormat="1" x14ac:dyDescent="0.35">
      <c r="S814" s="6"/>
      <c r="T814" s="6"/>
      <c r="AC814" s="5"/>
      <c r="AD814" s="8"/>
      <c r="AE814" s="5"/>
      <c r="AF814" s="5"/>
      <c r="AP814" s="17"/>
      <c r="AQ814" s="8"/>
      <c r="AR814" s="8"/>
      <c r="CA814" s="18"/>
    </row>
    <row r="815" spans="19:79" s="4" customFormat="1" x14ac:dyDescent="0.35">
      <c r="S815" s="6"/>
      <c r="T815" s="6"/>
      <c r="AC815" s="5"/>
      <c r="AD815" s="8"/>
      <c r="AE815" s="5"/>
      <c r="AF815" s="5"/>
      <c r="AP815" s="17"/>
      <c r="AQ815" s="8"/>
      <c r="AR815" s="8"/>
      <c r="CA815" s="18"/>
    </row>
    <row r="816" spans="19:79" s="4" customFormat="1" x14ac:dyDescent="0.35">
      <c r="S816" s="6"/>
      <c r="T816" s="6"/>
      <c r="AC816" s="5"/>
      <c r="AD816" s="8"/>
      <c r="AE816" s="5"/>
      <c r="AF816" s="5"/>
      <c r="AP816" s="17"/>
      <c r="AQ816" s="8"/>
      <c r="AR816" s="8"/>
      <c r="CA816" s="18"/>
    </row>
    <row r="817" spans="19:79" s="4" customFormat="1" x14ac:dyDescent="0.35">
      <c r="S817" s="6"/>
      <c r="T817" s="6"/>
      <c r="AC817" s="5"/>
      <c r="AD817" s="8"/>
      <c r="AE817" s="5"/>
      <c r="AF817" s="5"/>
      <c r="AP817" s="17"/>
      <c r="AQ817" s="8"/>
      <c r="AR817" s="8"/>
      <c r="CA817" s="18"/>
    </row>
    <row r="818" spans="19:79" s="4" customFormat="1" x14ac:dyDescent="0.35">
      <c r="S818" s="6"/>
      <c r="T818" s="6"/>
      <c r="AC818" s="5"/>
      <c r="AD818" s="8"/>
      <c r="AE818" s="5"/>
      <c r="AF818" s="5"/>
      <c r="AP818" s="17"/>
      <c r="AQ818" s="8"/>
      <c r="AR818" s="8"/>
      <c r="CA818" s="18"/>
    </row>
    <row r="819" spans="19:79" s="4" customFormat="1" x14ac:dyDescent="0.35">
      <c r="S819" s="6"/>
      <c r="T819" s="6"/>
      <c r="AC819" s="5"/>
      <c r="AD819" s="8"/>
      <c r="AE819" s="5"/>
      <c r="AF819" s="5"/>
      <c r="AP819" s="17"/>
      <c r="AQ819" s="8"/>
      <c r="AR819" s="8"/>
      <c r="CA819" s="18"/>
    </row>
    <row r="820" spans="19:79" s="4" customFormat="1" x14ac:dyDescent="0.35">
      <c r="S820" s="6"/>
      <c r="T820" s="6"/>
      <c r="AC820" s="5"/>
      <c r="AD820" s="8"/>
      <c r="AE820" s="5"/>
      <c r="AF820" s="5"/>
      <c r="AP820" s="17"/>
      <c r="AQ820" s="8"/>
      <c r="AR820" s="8"/>
      <c r="CA820" s="18"/>
    </row>
    <row r="821" spans="19:79" s="4" customFormat="1" x14ac:dyDescent="0.35">
      <c r="S821" s="6"/>
      <c r="T821" s="6"/>
      <c r="AC821" s="5"/>
      <c r="AD821" s="8"/>
      <c r="AE821" s="5"/>
      <c r="AF821" s="5"/>
      <c r="AP821" s="17"/>
      <c r="AQ821" s="8"/>
      <c r="AR821" s="8"/>
      <c r="CA821" s="18"/>
    </row>
    <row r="822" spans="19:79" s="4" customFormat="1" x14ac:dyDescent="0.35">
      <c r="S822" s="6"/>
      <c r="T822" s="6"/>
      <c r="AC822" s="5"/>
      <c r="AD822" s="8"/>
      <c r="AE822" s="5"/>
      <c r="AF822" s="5"/>
      <c r="AP822" s="17"/>
      <c r="AQ822" s="8"/>
      <c r="AR822" s="8"/>
      <c r="CA822" s="18"/>
    </row>
    <row r="823" spans="19:79" s="4" customFormat="1" x14ac:dyDescent="0.35">
      <c r="S823" s="6"/>
      <c r="T823" s="6"/>
      <c r="AC823" s="5"/>
      <c r="AD823" s="8"/>
      <c r="AE823" s="5"/>
      <c r="AF823" s="5"/>
      <c r="AP823" s="17"/>
      <c r="AQ823" s="8"/>
      <c r="AR823" s="8"/>
      <c r="CA823" s="18"/>
    </row>
    <row r="824" spans="19:79" s="4" customFormat="1" x14ac:dyDescent="0.35">
      <c r="S824" s="6"/>
      <c r="T824" s="6"/>
      <c r="AC824" s="5"/>
      <c r="AD824" s="8"/>
      <c r="AE824" s="5"/>
      <c r="AF824" s="5"/>
      <c r="AP824" s="17"/>
      <c r="AQ824" s="8"/>
      <c r="AR824" s="8"/>
      <c r="CA824" s="18"/>
    </row>
    <row r="825" spans="19:79" s="4" customFormat="1" x14ac:dyDescent="0.35">
      <c r="S825" s="6"/>
      <c r="T825" s="6"/>
      <c r="AC825" s="5"/>
      <c r="AD825" s="8"/>
      <c r="AE825" s="5"/>
      <c r="AF825" s="5"/>
      <c r="AP825" s="17"/>
      <c r="AQ825" s="8"/>
      <c r="AR825" s="8"/>
      <c r="CA825" s="18"/>
    </row>
    <row r="826" spans="19:79" s="4" customFormat="1" x14ac:dyDescent="0.35">
      <c r="S826" s="6"/>
      <c r="T826" s="6"/>
      <c r="AC826" s="5"/>
      <c r="AD826" s="8"/>
      <c r="AE826" s="5"/>
      <c r="AF826" s="5"/>
      <c r="AP826" s="17"/>
      <c r="AQ826" s="8"/>
      <c r="AR826" s="8"/>
      <c r="CA826" s="18"/>
    </row>
    <row r="827" spans="19:79" s="4" customFormat="1" x14ac:dyDescent="0.35">
      <c r="S827" s="6"/>
      <c r="T827" s="6"/>
      <c r="AC827" s="5"/>
      <c r="AD827" s="8"/>
      <c r="AE827" s="5"/>
      <c r="AF827" s="5"/>
      <c r="AP827" s="17"/>
      <c r="AQ827" s="8"/>
      <c r="AR827" s="8"/>
      <c r="CA827" s="18"/>
    </row>
    <row r="828" spans="19:79" s="4" customFormat="1" x14ac:dyDescent="0.35">
      <c r="S828" s="6"/>
      <c r="T828" s="6"/>
      <c r="AC828" s="5"/>
      <c r="AD828" s="8"/>
      <c r="AE828" s="5"/>
      <c r="AF828" s="5"/>
      <c r="AP828" s="17"/>
      <c r="AQ828" s="8"/>
      <c r="AR828" s="8"/>
      <c r="CA828" s="18"/>
    </row>
    <row r="829" spans="19:79" s="4" customFormat="1" x14ac:dyDescent="0.35">
      <c r="S829" s="6"/>
      <c r="T829" s="6"/>
      <c r="AC829" s="5"/>
      <c r="AD829" s="8"/>
      <c r="AE829" s="5"/>
      <c r="AF829" s="5"/>
      <c r="AP829" s="17"/>
      <c r="AQ829" s="8"/>
      <c r="AR829" s="8"/>
      <c r="CA829" s="18"/>
    </row>
    <row r="830" spans="19:79" s="4" customFormat="1" x14ac:dyDescent="0.35">
      <c r="S830" s="6"/>
      <c r="T830" s="6"/>
      <c r="AC830" s="5"/>
      <c r="AD830" s="8"/>
      <c r="AE830" s="5"/>
      <c r="AF830" s="5"/>
      <c r="AP830" s="17"/>
      <c r="AQ830" s="8"/>
      <c r="AR830" s="8"/>
      <c r="CA830" s="18"/>
    </row>
    <row r="831" spans="19:79" s="4" customFormat="1" x14ac:dyDescent="0.35">
      <c r="S831" s="6"/>
      <c r="T831" s="6"/>
      <c r="AC831" s="5"/>
      <c r="AD831" s="8"/>
      <c r="AE831" s="5"/>
      <c r="AF831" s="5"/>
      <c r="AP831" s="17"/>
      <c r="AQ831" s="8"/>
      <c r="AR831" s="8"/>
      <c r="CA831" s="18"/>
    </row>
    <row r="832" spans="19:79" s="4" customFormat="1" x14ac:dyDescent="0.35">
      <c r="S832" s="6"/>
      <c r="T832" s="6"/>
      <c r="AC832" s="5"/>
      <c r="AD832" s="8"/>
      <c r="AE832" s="5"/>
      <c r="AF832" s="5"/>
      <c r="AP832" s="17"/>
      <c r="AQ832" s="8"/>
      <c r="AR832" s="8"/>
      <c r="CA832" s="18"/>
    </row>
    <row r="833" spans="19:79" s="4" customFormat="1" x14ac:dyDescent="0.35">
      <c r="S833" s="6"/>
      <c r="T833" s="6"/>
      <c r="AC833" s="5"/>
      <c r="AD833" s="8"/>
      <c r="AE833" s="5"/>
      <c r="AF833" s="5"/>
      <c r="AP833" s="17"/>
      <c r="AQ833" s="8"/>
      <c r="AR833" s="8"/>
      <c r="CA833" s="18"/>
    </row>
    <row r="834" spans="19:79" s="4" customFormat="1" x14ac:dyDescent="0.35">
      <c r="S834" s="6"/>
      <c r="T834" s="6"/>
      <c r="AC834" s="5"/>
      <c r="AD834" s="8"/>
      <c r="AE834" s="5"/>
      <c r="AF834" s="5"/>
      <c r="AP834" s="17"/>
      <c r="AQ834" s="8"/>
      <c r="AR834" s="8"/>
      <c r="CA834" s="18"/>
    </row>
    <row r="835" spans="19:79" s="4" customFormat="1" x14ac:dyDescent="0.35">
      <c r="S835" s="6"/>
      <c r="T835" s="6"/>
      <c r="AC835" s="5"/>
      <c r="AD835" s="8"/>
      <c r="AE835" s="5"/>
      <c r="AF835" s="5"/>
      <c r="AP835" s="17"/>
      <c r="AQ835" s="8"/>
      <c r="AR835" s="8"/>
      <c r="CA835" s="18"/>
    </row>
    <row r="836" spans="19:79" s="4" customFormat="1" x14ac:dyDescent="0.35">
      <c r="S836" s="6"/>
      <c r="T836" s="6"/>
      <c r="AC836" s="5"/>
      <c r="AD836" s="8"/>
      <c r="AE836" s="5"/>
      <c r="AF836" s="5"/>
      <c r="AP836" s="17"/>
      <c r="AQ836" s="8"/>
      <c r="AR836" s="8"/>
      <c r="CA836" s="18"/>
    </row>
    <row r="837" spans="19:79" s="4" customFormat="1" x14ac:dyDescent="0.35">
      <c r="S837" s="6"/>
      <c r="T837" s="6"/>
      <c r="AC837" s="5"/>
      <c r="AD837" s="8"/>
      <c r="AE837" s="5"/>
      <c r="AF837" s="5"/>
      <c r="AP837" s="17"/>
      <c r="AQ837" s="8"/>
      <c r="AR837" s="8"/>
      <c r="CA837" s="18"/>
    </row>
    <row r="838" spans="19:79" s="4" customFormat="1" x14ac:dyDescent="0.35">
      <c r="S838" s="6"/>
      <c r="T838" s="6"/>
      <c r="AC838" s="5"/>
      <c r="AD838" s="8"/>
      <c r="AE838" s="5"/>
      <c r="AF838" s="5"/>
      <c r="AP838" s="17"/>
      <c r="AQ838" s="8"/>
      <c r="AR838" s="8"/>
      <c r="CA838" s="18"/>
    </row>
    <row r="839" spans="19:79" s="4" customFormat="1" x14ac:dyDescent="0.35">
      <c r="S839" s="6"/>
      <c r="T839" s="6"/>
      <c r="AC839" s="5"/>
      <c r="AD839" s="8"/>
      <c r="AE839" s="5"/>
      <c r="AF839" s="5"/>
      <c r="AP839" s="17"/>
      <c r="AQ839" s="8"/>
      <c r="AR839" s="8"/>
      <c r="CA839" s="18"/>
    </row>
    <row r="840" spans="19:79" s="4" customFormat="1" x14ac:dyDescent="0.35">
      <c r="S840" s="6"/>
      <c r="T840" s="6"/>
      <c r="AC840" s="5"/>
      <c r="AD840" s="8"/>
      <c r="AE840" s="5"/>
      <c r="AF840" s="5"/>
      <c r="AP840" s="17"/>
      <c r="AQ840" s="8"/>
      <c r="AR840" s="8"/>
      <c r="CA840" s="18"/>
    </row>
    <row r="841" spans="19:79" s="4" customFormat="1" x14ac:dyDescent="0.35">
      <c r="S841" s="6"/>
      <c r="T841" s="6"/>
      <c r="AC841" s="5"/>
      <c r="AD841" s="8"/>
      <c r="AE841" s="5"/>
      <c r="AF841" s="5"/>
      <c r="AP841" s="17"/>
      <c r="AQ841" s="8"/>
      <c r="AR841" s="8"/>
      <c r="CA841" s="18"/>
    </row>
    <row r="842" spans="19:79" s="4" customFormat="1" x14ac:dyDescent="0.35">
      <c r="S842" s="6"/>
      <c r="T842" s="6"/>
      <c r="AC842" s="5"/>
      <c r="AD842" s="8"/>
      <c r="AE842" s="5"/>
      <c r="AF842" s="5"/>
      <c r="AP842" s="17"/>
      <c r="AQ842" s="8"/>
      <c r="AR842" s="8"/>
      <c r="CA842" s="18"/>
    </row>
    <row r="843" spans="19:79" s="4" customFormat="1" x14ac:dyDescent="0.35">
      <c r="S843" s="6"/>
      <c r="T843" s="6"/>
      <c r="AC843" s="5"/>
      <c r="AD843" s="8"/>
      <c r="AE843" s="5"/>
      <c r="AF843" s="5"/>
      <c r="AP843" s="17"/>
      <c r="AQ843" s="8"/>
      <c r="AR843" s="8"/>
      <c r="CA843" s="18"/>
    </row>
    <row r="844" spans="19:79" s="4" customFormat="1" x14ac:dyDescent="0.35">
      <c r="S844" s="6"/>
      <c r="T844" s="6"/>
      <c r="AC844" s="5"/>
      <c r="AD844" s="8"/>
      <c r="AE844" s="5"/>
      <c r="AF844" s="5"/>
      <c r="AP844" s="17"/>
      <c r="AQ844" s="8"/>
      <c r="AR844" s="8"/>
      <c r="CA844" s="18"/>
    </row>
    <row r="845" spans="19:79" s="4" customFormat="1" x14ac:dyDescent="0.35">
      <c r="S845" s="6"/>
      <c r="T845" s="6"/>
      <c r="AC845" s="5"/>
      <c r="AD845" s="8"/>
      <c r="AE845" s="5"/>
      <c r="AF845" s="5"/>
      <c r="AP845" s="17"/>
      <c r="AQ845" s="8"/>
      <c r="AR845" s="8"/>
      <c r="CA845" s="18"/>
    </row>
    <row r="846" spans="19:79" s="4" customFormat="1" x14ac:dyDescent="0.35">
      <c r="S846" s="6"/>
      <c r="T846" s="6"/>
      <c r="AC846" s="5"/>
      <c r="AD846" s="8"/>
      <c r="AE846" s="5"/>
      <c r="AF846" s="5"/>
      <c r="AP846" s="17"/>
      <c r="AQ846" s="8"/>
      <c r="AR846" s="8"/>
      <c r="CA846" s="18"/>
    </row>
    <row r="847" spans="19:79" s="4" customFormat="1" x14ac:dyDescent="0.35">
      <c r="S847" s="6"/>
      <c r="T847" s="6"/>
      <c r="AC847" s="5"/>
      <c r="AD847" s="8"/>
      <c r="AE847" s="5"/>
      <c r="AF847" s="5"/>
      <c r="AP847" s="17"/>
      <c r="AQ847" s="8"/>
      <c r="AR847" s="8"/>
      <c r="CA847" s="18"/>
    </row>
    <row r="848" spans="19:79" s="4" customFormat="1" x14ac:dyDescent="0.35">
      <c r="S848" s="6"/>
      <c r="T848" s="6"/>
      <c r="AC848" s="5"/>
      <c r="AD848" s="8"/>
      <c r="AE848" s="5"/>
      <c r="AF848" s="5"/>
      <c r="AP848" s="17"/>
      <c r="AQ848" s="8"/>
      <c r="AR848" s="8"/>
      <c r="CA848" s="18"/>
    </row>
    <row r="849" spans="19:79" s="4" customFormat="1" x14ac:dyDescent="0.35">
      <c r="S849" s="6"/>
      <c r="T849" s="6"/>
      <c r="AC849" s="5"/>
      <c r="AD849" s="8"/>
      <c r="AE849" s="5"/>
      <c r="AF849" s="5"/>
      <c r="AP849" s="17"/>
      <c r="AQ849" s="8"/>
      <c r="AR849" s="8"/>
      <c r="CA849" s="18"/>
    </row>
    <row r="850" spans="19:79" s="4" customFormat="1" x14ac:dyDescent="0.35">
      <c r="S850" s="6"/>
      <c r="T850" s="6"/>
      <c r="AC850" s="5"/>
      <c r="AD850" s="8"/>
      <c r="AE850" s="5"/>
      <c r="AF850" s="5"/>
      <c r="AP850" s="17"/>
      <c r="AQ850" s="8"/>
      <c r="AR850" s="8"/>
      <c r="CA850" s="18"/>
    </row>
    <row r="851" spans="19:79" s="4" customFormat="1" x14ac:dyDescent="0.35">
      <c r="S851" s="6"/>
      <c r="T851" s="6"/>
      <c r="AC851" s="5"/>
      <c r="AD851" s="8"/>
      <c r="AE851" s="5"/>
      <c r="AF851" s="5"/>
      <c r="AP851" s="17"/>
      <c r="AQ851" s="8"/>
      <c r="AR851" s="8"/>
      <c r="CA851" s="18"/>
    </row>
    <row r="852" spans="19:79" s="4" customFormat="1" x14ac:dyDescent="0.35">
      <c r="S852" s="6"/>
      <c r="T852" s="6"/>
      <c r="AC852" s="5"/>
      <c r="AD852" s="8"/>
      <c r="AE852" s="5"/>
      <c r="AF852" s="5"/>
      <c r="AP852" s="17"/>
      <c r="AQ852" s="8"/>
      <c r="AR852" s="8"/>
      <c r="CA852" s="18"/>
    </row>
    <row r="853" spans="19:79" s="4" customFormat="1" x14ac:dyDescent="0.35">
      <c r="S853" s="6"/>
      <c r="T853" s="6"/>
      <c r="AC853" s="5"/>
      <c r="AD853" s="8"/>
      <c r="AE853" s="5"/>
      <c r="AF853" s="5"/>
      <c r="AP853" s="17"/>
      <c r="AQ853" s="8"/>
      <c r="AR853" s="8"/>
      <c r="CA853" s="18"/>
    </row>
    <row r="854" spans="19:79" s="4" customFormat="1" x14ac:dyDescent="0.35">
      <c r="S854" s="6"/>
      <c r="T854" s="6"/>
      <c r="AC854" s="5"/>
      <c r="AD854" s="8"/>
      <c r="AE854" s="5"/>
      <c r="AF854" s="5"/>
      <c r="AP854" s="17"/>
      <c r="AQ854" s="8"/>
      <c r="AR854" s="8"/>
      <c r="CA854" s="18"/>
    </row>
    <row r="855" spans="19:79" s="4" customFormat="1" x14ac:dyDescent="0.35">
      <c r="S855" s="6"/>
      <c r="T855" s="6"/>
      <c r="AC855" s="5"/>
      <c r="AD855" s="8"/>
      <c r="AE855" s="5"/>
      <c r="AF855" s="5"/>
      <c r="AP855" s="17"/>
      <c r="AQ855" s="8"/>
      <c r="AR855" s="8"/>
      <c r="CA855" s="18"/>
    </row>
    <row r="856" spans="19:79" s="4" customFormat="1" x14ac:dyDescent="0.35">
      <c r="S856" s="6"/>
      <c r="T856" s="6"/>
      <c r="AC856" s="5"/>
      <c r="AD856" s="8"/>
      <c r="AE856" s="5"/>
      <c r="AF856" s="5"/>
      <c r="AP856" s="17"/>
      <c r="AQ856" s="8"/>
      <c r="AR856" s="8"/>
      <c r="CA856" s="18"/>
    </row>
    <row r="857" spans="19:79" s="4" customFormat="1" x14ac:dyDescent="0.35">
      <c r="S857" s="6"/>
      <c r="T857" s="6"/>
      <c r="AC857" s="5"/>
      <c r="AD857" s="8"/>
      <c r="AE857" s="5"/>
      <c r="AF857" s="5"/>
      <c r="AP857" s="17"/>
      <c r="AQ857" s="8"/>
      <c r="AR857" s="8"/>
      <c r="CA857" s="18"/>
    </row>
    <row r="858" spans="19:79" s="4" customFormat="1" x14ac:dyDescent="0.35">
      <c r="S858" s="6"/>
      <c r="T858" s="6"/>
      <c r="AC858" s="5"/>
      <c r="AD858" s="8"/>
      <c r="AE858" s="5"/>
      <c r="AF858" s="5"/>
      <c r="AP858" s="17"/>
      <c r="AQ858" s="8"/>
      <c r="AR858" s="8"/>
      <c r="CA858" s="18"/>
    </row>
    <row r="859" spans="19:79" s="4" customFormat="1" x14ac:dyDescent="0.35">
      <c r="S859" s="6"/>
      <c r="T859" s="6"/>
      <c r="AC859" s="5"/>
      <c r="AD859" s="8"/>
      <c r="AE859" s="5"/>
      <c r="AF859" s="5"/>
      <c r="AP859" s="17"/>
      <c r="AQ859" s="8"/>
      <c r="AR859" s="8"/>
      <c r="CA859" s="18"/>
    </row>
    <row r="860" spans="19:79" s="4" customFormat="1" x14ac:dyDescent="0.35">
      <c r="S860" s="6"/>
      <c r="T860" s="6"/>
      <c r="AC860" s="5"/>
      <c r="AD860" s="8"/>
      <c r="AE860" s="5"/>
      <c r="AF860" s="5"/>
      <c r="AP860" s="17"/>
      <c r="AQ860" s="8"/>
      <c r="AR860" s="8"/>
      <c r="CA860" s="18"/>
    </row>
    <row r="861" spans="19:79" s="4" customFormat="1" x14ac:dyDescent="0.35">
      <c r="S861" s="6"/>
      <c r="T861" s="6"/>
      <c r="AC861" s="5"/>
      <c r="AD861" s="8"/>
      <c r="AE861" s="5"/>
      <c r="AF861" s="5"/>
      <c r="AP861" s="17"/>
      <c r="AQ861" s="8"/>
      <c r="AR861" s="8"/>
      <c r="CA861" s="18"/>
    </row>
    <row r="862" spans="19:79" s="4" customFormat="1" x14ac:dyDescent="0.35">
      <c r="S862" s="6"/>
      <c r="T862" s="6"/>
      <c r="AC862" s="5"/>
      <c r="AD862" s="8"/>
      <c r="AE862" s="5"/>
      <c r="AF862" s="5"/>
      <c r="AP862" s="17"/>
      <c r="AQ862" s="8"/>
      <c r="AR862" s="8"/>
      <c r="CA862" s="18"/>
    </row>
    <row r="863" spans="19:79" s="4" customFormat="1" x14ac:dyDescent="0.35">
      <c r="S863" s="6"/>
      <c r="T863" s="6"/>
      <c r="AC863" s="5"/>
      <c r="AD863" s="8"/>
      <c r="AE863" s="5"/>
      <c r="AF863" s="5"/>
      <c r="AP863" s="17"/>
      <c r="AQ863" s="8"/>
      <c r="AR863" s="8"/>
      <c r="CA863" s="18"/>
    </row>
    <row r="864" spans="19:79" s="4" customFormat="1" x14ac:dyDescent="0.35">
      <c r="S864" s="6"/>
      <c r="T864" s="6"/>
      <c r="AC864" s="5"/>
      <c r="AD864" s="8"/>
      <c r="AE864" s="5"/>
      <c r="AF864" s="5"/>
      <c r="AP864" s="17"/>
      <c r="AQ864" s="8"/>
      <c r="AR864" s="8"/>
      <c r="CA864" s="18"/>
    </row>
    <row r="865" spans="19:79" s="4" customFormat="1" x14ac:dyDescent="0.35">
      <c r="S865" s="6"/>
      <c r="T865" s="6"/>
      <c r="AC865" s="5"/>
      <c r="AD865" s="8"/>
      <c r="AE865" s="5"/>
      <c r="AF865" s="5"/>
      <c r="AP865" s="17"/>
      <c r="AQ865" s="8"/>
      <c r="AR865" s="8"/>
      <c r="CA865" s="18"/>
    </row>
    <row r="866" spans="19:79" s="4" customFormat="1" x14ac:dyDescent="0.35">
      <c r="S866" s="6"/>
      <c r="T866" s="6"/>
      <c r="AC866" s="5"/>
      <c r="AD866" s="8"/>
      <c r="AE866" s="5"/>
      <c r="AF866" s="5"/>
      <c r="AP866" s="17"/>
      <c r="AQ866" s="8"/>
      <c r="AR866" s="8"/>
      <c r="CA866" s="18"/>
    </row>
    <row r="867" spans="19:79" s="4" customFormat="1" x14ac:dyDescent="0.35">
      <c r="S867" s="6"/>
      <c r="T867" s="6"/>
      <c r="AC867" s="5"/>
      <c r="AD867" s="8"/>
      <c r="AE867" s="5"/>
      <c r="AF867" s="5"/>
      <c r="AP867" s="17"/>
      <c r="AQ867" s="8"/>
      <c r="AR867" s="8"/>
      <c r="CA867" s="18"/>
    </row>
    <row r="868" spans="19:79" s="4" customFormat="1" x14ac:dyDescent="0.35">
      <c r="S868" s="6"/>
      <c r="T868" s="6"/>
      <c r="AC868" s="5"/>
      <c r="AD868" s="8"/>
      <c r="AE868" s="5"/>
      <c r="AF868" s="5"/>
      <c r="AP868" s="17"/>
      <c r="AQ868" s="8"/>
      <c r="AR868" s="8"/>
      <c r="CA868" s="18"/>
    </row>
    <row r="869" spans="19:79" s="4" customFormat="1" x14ac:dyDescent="0.35">
      <c r="S869" s="6"/>
      <c r="T869" s="6"/>
      <c r="AC869" s="5"/>
      <c r="AD869" s="8"/>
      <c r="AE869" s="5"/>
      <c r="AF869" s="5"/>
      <c r="AP869" s="17"/>
      <c r="AQ869" s="8"/>
      <c r="AR869" s="8"/>
      <c r="CA869" s="18"/>
    </row>
    <row r="870" spans="19:79" s="4" customFormat="1" x14ac:dyDescent="0.35">
      <c r="S870" s="6"/>
      <c r="T870" s="6"/>
      <c r="AC870" s="5"/>
      <c r="AD870" s="8"/>
      <c r="AE870" s="5"/>
      <c r="AF870" s="5"/>
      <c r="AP870" s="17"/>
      <c r="AQ870" s="8"/>
      <c r="AR870" s="8"/>
      <c r="CA870" s="18"/>
    </row>
    <row r="871" spans="19:79" s="4" customFormat="1" x14ac:dyDescent="0.35">
      <c r="S871" s="6"/>
      <c r="T871" s="6"/>
      <c r="AC871" s="5"/>
      <c r="AD871" s="8"/>
      <c r="AE871" s="5"/>
      <c r="AF871" s="5"/>
      <c r="AP871" s="17"/>
      <c r="AQ871" s="8"/>
      <c r="AR871" s="8"/>
      <c r="CA871" s="18"/>
    </row>
    <row r="872" spans="19:79" s="4" customFormat="1" x14ac:dyDescent="0.35">
      <c r="S872" s="6"/>
      <c r="T872" s="6"/>
      <c r="AC872" s="5"/>
      <c r="AD872" s="8"/>
      <c r="AE872" s="5"/>
      <c r="AF872" s="5"/>
      <c r="AP872" s="17"/>
      <c r="AQ872" s="8"/>
      <c r="AR872" s="8"/>
      <c r="CA872" s="18"/>
    </row>
    <row r="873" spans="19:79" s="4" customFormat="1" x14ac:dyDescent="0.35">
      <c r="S873" s="6"/>
      <c r="T873" s="6"/>
      <c r="AC873" s="5"/>
      <c r="AD873" s="8"/>
      <c r="AE873" s="5"/>
      <c r="AF873" s="5"/>
      <c r="AP873" s="17"/>
      <c r="AQ873" s="8"/>
      <c r="AR873" s="8"/>
      <c r="CA873" s="18"/>
    </row>
    <row r="874" spans="19:79" s="4" customFormat="1" x14ac:dyDescent="0.35">
      <c r="S874" s="6"/>
      <c r="T874" s="6"/>
      <c r="AC874" s="5"/>
      <c r="AD874" s="8"/>
      <c r="AE874" s="5"/>
      <c r="AF874" s="5"/>
      <c r="AP874" s="17"/>
      <c r="AQ874" s="8"/>
      <c r="AR874" s="8"/>
      <c r="CA874" s="18"/>
    </row>
    <row r="875" spans="19:79" s="4" customFormat="1" x14ac:dyDescent="0.35">
      <c r="S875" s="6"/>
      <c r="T875" s="6"/>
      <c r="AC875" s="5"/>
      <c r="AD875" s="8"/>
      <c r="AE875" s="5"/>
      <c r="AF875" s="5"/>
      <c r="AP875" s="17"/>
      <c r="AQ875" s="8"/>
      <c r="AR875" s="8"/>
      <c r="CA875" s="18"/>
    </row>
    <row r="876" spans="19:79" s="4" customFormat="1" x14ac:dyDescent="0.35">
      <c r="S876" s="6"/>
      <c r="T876" s="6"/>
      <c r="AC876" s="5"/>
      <c r="AD876" s="8"/>
      <c r="AE876" s="5"/>
      <c r="AF876" s="5"/>
      <c r="AP876" s="17"/>
      <c r="AQ876" s="8"/>
      <c r="AR876" s="8"/>
      <c r="CA876" s="18"/>
    </row>
    <row r="877" spans="19:79" s="4" customFormat="1" x14ac:dyDescent="0.35">
      <c r="S877" s="6"/>
      <c r="T877" s="6"/>
      <c r="AC877" s="5"/>
      <c r="AD877" s="8"/>
      <c r="AE877" s="5"/>
      <c r="AF877" s="5"/>
      <c r="AP877" s="17"/>
      <c r="AQ877" s="8"/>
      <c r="AR877" s="8"/>
      <c r="CA877" s="18"/>
    </row>
    <row r="878" spans="19:79" s="4" customFormat="1" x14ac:dyDescent="0.35">
      <c r="S878" s="6"/>
      <c r="T878" s="6"/>
      <c r="AC878" s="5"/>
      <c r="AD878" s="8"/>
      <c r="AE878" s="5"/>
      <c r="AF878" s="5"/>
      <c r="AP878" s="17"/>
      <c r="AQ878" s="8"/>
      <c r="AR878" s="8"/>
      <c r="CA878" s="18"/>
    </row>
    <row r="879" spans="19:79" s="4" customFormat="1" x14ac:dyDescent="0.35">
      <c r="S879" s="6"/>
      <c r="T879" s="6"/>
      <c r="AC879" s="5"/>
      <c r="AD879" s="8"/>
      <c r="AE879" s="5"/>
      <c r="AF879" s="5"/>
      <c r="AP879" s="17"/>
      <c r="AQ879" s="8"/>
      <c r="AR879" s="8"/>
      <c r="CA879" s="18"/>
    </row>
    <row r="880" spans="19:79" s="4" customFormat="1" x14ac:dyDescent="0.35">
      <c r="S880" s="6"/>
      <c r="T880" s="6"/>
      <c r="AC880" s="5"/>
      <c r="AD880" s="8"/>
      <c r="AE880" s="5"/>
      <c r="AF880" s="5"/>
      <c r="AP880" s="17"/>
      <c r="AQ880" s="8"/>
      <c r="AR880" s="8"/>
      <c r="CA880" s="18"/>
    </row>
    <row r="881" spans="19:79" s="4" customFormat="1" x14ac:dyDescent="0.35">
      <c r="S881" s="6"/>
      <c r="T881" s="6"/>
      <c r="AC881" s="5"/>
      <c r="AD881" s="8"/>
      <c r="AE881" s="5"/>
      <c r="AF881" s="5"/>
      <c r="AP881" s="17"/>
      <c r="AQ881" s="8"/>
      <c r="AR881" s="8"/>
      <c r="CA881" s="18"/>
    </row>
    <row r="882" spans="19:79" s="4" customFormat="1" x14ac:dyDescent="0.35">
      <c r="S882" s="6"/>
      <c r="T882" s="6"/>
      <c r="AC882" s="5"/>
      <c r="AD882" s="8"/>
      <c r="AE882" s="5"/>
      <c r="AF882" s="5"/>
      <c r="AP882" s="17"/>
      <c r="AQ882" s="8"/>
      <c r="AR882" s="8"/>
      <c r="CA882" s="18"/>
    </row>
    <row r="883" spans="19:79" s="4" customFormat="1" x14ac:dyDescent="0.35">
      <c r="S883" s="6"/>
      <c r="T883" s="6"/>
      <c r="AC883" s="5"/>
      <c r="AD883" s="8"/>
      <c r="AE883" s="5"/>
      <c r="AF883" s="5"/>
      <c r="AP883" s="17"/>
      <c r="AQ883" s="8"/>
      <c r="AR883" s="8"/>
      <c r="CA883" s="18"/>
    </row>
    <row r="884" spans="19:79" s="4" customFormat="1" x14ac:dyDescent="0.35">
      <c r="S884" s="6"/>
      <c r="T884" s="6"/>
      <c r="AC884" s="5"/>
      <c r="AD884" s="8"/>
      <c r="AE884" s="5"/>
      <c r="AF884" s="5"/>
      <c r="AP884" s="17"/>
      <c r="AQ884" s="8"/>
      <c r="AR884" s="8"/>
      <c r="CA884" s="18"/>
    </row>
    <row r="885" spans="19:79" s="4" customFormat="1" x14ac:dyDescent="0.35">
      <c r="S885" s="6"/>
      <c r="T885" s="6"/>
      <c r="AC885" s="5"/>
      <c r="AD885" s="8"/>
      <c r="AE885" s="5"/>
      <c r="AF885" s="5"/>
      <c r="AP885" s="17"/>
      <c r="AQ885" s="8"/>
      <c r="AR885" s="8"/>
      <c r="CA885" s="18"/>
    </row>
    <row r="886" spans="19:79" s="4" customFormat="1" x14ac:dyDescent="0.35">
      <c r="S886" s="6"/>
      <c r="T886" s="6"/>
      <c r="AC886" s="5"/>
      <c r="AD886" s="8"/>
      <c r="AE886" s="5"/>
      <c r="AF886" s="5"/>
      <c r="AP886" s="17"/>
      <c r="AQ886" s="8"/>
      <c r="AR886" s="8"/>
      <c r="CA886" s="18"/>
    </row>
    <row r="887" spans="19:79" s="4" customFormat="1" x14ac:dyDescent="0.35">
      <c r="S887" s="6"/>
      <c r="T887" s="6"/>
      <c r="AC887" s="5"/>
      <c r="AD887" s="8"/>
      <c r="AE887" s="5"/>
      <c r="AF887" s="5"/>
      <c r="AP887" s="17"/>
      <c r="AQ887" s="8"/>
      <c r="AR887" s="8"/>
      <c r="CA887" s="18"/>
    </row>
    <row r="888" spans="19:79" s="4" customFormat="1" x14ac:dyDescent="0.35">
      <c r="S888" s="6"/>
      <c r="T888" s="6"/>
      <c r="AC888" s="5"/>
      <c r="AD888" s="8"/>
      <c r="AE888" s="5"/>
      <c r="AF888" s="5"/>
      <c r="AP888" s="17"/>
      <c r="AQ888" s="8"/>
      <c r="AR888" s="8"/>
      <c r="CA888" s="18"/>
    </row>
    <row r="889" spans="19:79" s="4" customFormat="1" x14ac:dyDescent="0.35">
      <c r="S889" s="6"/>
      <c r="T889" s="6"/>
      <c r="AC889" s="5"/>
      <c r="AD889" s="8"/>
      <c r="AE889" s="5"/>
      <c r="AF889" s="5"/>
      <c r="AP889" s="17"/>
      <c r="AQ889" s="8"/>
      <c r="AR889" s="8"/>
      <c r="CA889" s="18"/>
    </row>
    <row r="890" spans="19:79" s="4" customFormat="1" x14ac:dyDescent="0.35">
      <c r="S890" s="6"/>
      <c r="T890" s="6"/>
      <c r="AC890" s="5"/>
      <c r="AD890" s="8"/>
      <c r="AE890" s="5"/>
      <c r="AF890" s="5"/>
      <c r="AP890" s="17"/>
      <c r="AQ890" s="8"/>
      <c r="AR890" s="8"/>
      <c r="CA890" s="18"/>
    </row>
    <row r="891" spans="19:79" s="4" customFormat="1" x14ac:dyDescent="0.35">
      <c r="S891" s="6"/>
      <c r="T891" s="6"/>
      <c r="AC891" s="5"/>
      <c r="AD891" s="8"/>
      <c r="AE891" s="5"/>
      <c r="AF891" s="5"/>
      <c r="AP891" s="17"/>
      <c r="AQ891" s="8"/>
      <c r="AR891" s="8"/>
      <c r="CA891" s="18"/>
    </row>
    <row r="892" spans="19:79" s="4" customFormat="1" x14ac:dyDescent="0.35">
      <c r="S892" s="6"/>
      <c r="T892" s="6"/>
      <c r="AC892" s="5"/>
      <c r="AD892" s="8"/>
      <c r="AE892" s="5"/>
      <c r="AF892" s="5"/>
      <c r="AP892" s="17"/>
      <c r="AQ892" s="8"/>
      <c r="AR892" s="8"/>
      <c r="CA892" s="18"/>
    </row>
    <row r="893" spans="19:79" s="4" customFormat="1" x14ac:dyDescent="0.35">
      <c r="S893" s="6"/>
      <c r="T893" s="6"/>
      <c r="AC893" s="5"/>
      <c r="AD893" s="8"/>
      <c r="AE893" s="5"/>
      <c r="AF893" s="5"/>
      <c r="AP893" s="17"/>
      <c r="AQ893" s="8"/>
      <c r="AR893" s="8"/>
      <c r="CA893" s="18"/>
    </row>
    <row r="894" spans="19:79" s="4" customFormat="1" x14ac:dyDescent="0.35">
      <c r="S894" s="6"/>
      <c r="T894" s="6"/>
      <c r="AC894" s="5"/>
      <c r="AD894" s="8"/>
      <c r="AE894" s="5"/>
      <c r="AF894" s="5"/>
      <c r="AP894" s="17"/>
      <c r="AQ894" s="8"/>
      <c r="AR894" s="8"/>
      <c r="CA894" s="18"/>
    </row>
    <row r="895" spans="19:79" s="4" customFormat="1" x14ac:dyDescent="0.35">
      <c r="S895" s="6"/>
      <c r="T895" s="6"/>
      <c r="AC895" s="5"/>
      <c r="AD895" s="8"/>
      <c r="AE895" s="5"/>
      <c r="AF895" s="5"/>
      <c r="AP895" s="17"/>
      <c r="AQ895" s="8"/>
      <c r="AR895" s="8"/>
      <c r="CA895" s="18"/>
    </row>
    <row r="896" spans="19:79" s="4" customFormat="1" x14ac:dyDescent="0.35">
      <c r="S896" s="6"/>
      <c r="T896" s="6"/>
      <c r="AC896" s="5"/>
      <c r="AD896" s="8"/>
      <c r="AE896" s="5"/>
      <c r="AF896" s="5"/>
      <c r="AP896" s="17"/>
      <c r="AQ896" s="8"/>
      <c r="AR896" s="8"/>
      <c r="CA896" s="18"/>
    </row>
    <row r="897" spans="19:79" s="4" customFormat="1" x14ac:dyDescent="0.35">
      <c r="S897" s="6"/>
      <c r="T897" s="6"/>
      <c r="AC897" s="5"/>
      <c r="AD897" s="8"/>
      <c r="AE897" s="5"/>
      <c r="AF897" s="5"/>
      <c r="AP897" s="17"/>
      <c r="AQ897" s="8"/>
      <c r="AR897" s="8"/>
      <c r="CA897" s="18"/>
    </row>
    <row r="898" spans="19:79" s="4" customFormat="1" x14ac:dyDescent="0.35">
      <c r="S898" s="6"/>
      <c r="T898" s="6"/>
      <c r="AC898" s="5"/>
      <c r="AD898" s="8"/>
      <c r="AE898" s="5"/>
      <c r="AF898" s="5"/>
      <c r="AP898" s="17"/>
      <c r="AQ898" s="8"/>
      <c r="AR898" s="8"/>
      <c r="CA898" s="18"/>
    </row>
    <row r="899" spans="19:79" s="4" customFormat="1" x14ac:dyDescent="0.35">
      <c r="S899" s="6"/>
      <c r="T899" s="6"/>
      <c r="AC899" s="5"/>
      <c r="AD899" s="8"/>
      <c r="AE899" s="5"/>
      <c r="AF899" s="5"/>
      <c r="AP899" s="17"/>
      <c r="AQ899" s="8"/>
      <c r="AR899" s="8"/>
      <c r="CA899" s="18"/>
    </row>
    <row r="900" spans="19:79" s="4" customFormat="1" x14ac:dyDescent="0.35">
      <c r="S900" s="6"/>
      <c r="T900" s="6"/>
      <c r="AC900" s="5"/>
      <c r="AD900" s="8"/>
      <c r="AE900" s="5"/>
      <c r="AF900" s="5"/>
      <c r="AP900" s="17"/>
      <c r="AQ900" s="8"/>
      <c r="AR900" s="8"/>
      <c r="CA900" s="18"/>
    </row>
    <row r="901" spans="19:79" s="4" customFormat="1" x14ac:dyDescent="0.35">
      <c r="S901" s="6"/>
      <c r="T901" s="6"/>
      <c r="AC901" s="5"/>
      <c r="AD901" s="8"/>
      <c r="AE901" s="5"/>
      <c r="AF901" s="5"/>
      <c r="AP901" s="17"/>
      <c r="AQ901" s="8"/>
      <c r="AR901" s="8"/>
      <c r="CA901" s="18"/>
    </row>
    <row r="902" spans="19:79" s="4" customFormat="1" x14ac:dyDescent="0.35">
      <c r="S902" s="6"/>
      <c r="T902" s="6"/>
      <c r="AC902" s="5"/>
      <c r="AD902" s="8"/>
      <c r="AE902" s="5"/>
      <c r="AF902" s="5"/>
      <c r="AP902" s="17"/>
      <c r="AQ902" s="8"/>
      <c r="AR902" s="8"/>
      <c r="CA902" s="18"/>
    </row>
    <row r="903" spans="19:79" s="4" customFormat="1" x14ac:dyDescent="0.35">
      <c r="S903" s="6"/>
      <c r="T903" s="6"/>
      <c r="AC903" s="5"/>
      <c r="AD903" s="8"/>
      <c r="AE903" s="5"/>
      <c r="AF903" s="5"/>
      <c r="AP903" s="17"/>
      <c r="AQ903" s="8"/>
      <c r="AR903" s="8"/>
      <c r="CA903" s="18"/>
    </row>
    <row r="904" spans="19:79" s="4" customFormat="1" x14ac:dyDescent="0.35">
      <c r="S904" s="6"/>
      <c r="T904" s="6"/>
      <c r="AC904" s="5"/>
      <c r="AD904" s="8"/>
      <c r="AE904" s="5"/>
      <c r="AF904" s="5"/>
      <c r="AP904" s="17"/>
      <c r="AQ904" s="8"/>
      <c r="AR904" s="8"/>
      <c r="CA904" s="18"/>
    </row>
    <row r="905" spans="19:79" s="4" customFormat="1" x14ac:dyDescent="0.35">
      <c r="S905" s="6"/>
      <c r="T905" s="6"/>
      <c r="AC905" s="5"/>
      <c r="AD905" s="8"/>
      <c r="AE905" s="5"/>
      <c r="AF905" s="5"/>
      <c r="AP905" s="17"/>
      <c r="AQ905" s="8"/>
      <c r="AR905" s="8"/>
      <c r="CA905" s="18"/>
    </row>
    <row r="906" spans="19:79" s="4" customFormat="1" x14ac:dyDescent="0.35">
      <c r="S906" s="6"/>
      <c r="T906" s="6"/>
      <c r="AC906" s="5"/>
      <c r="AD906" s="8"/>
      <c r="AE906" s="5"/>
      <c r="AF906" s="5"/>
      <c r="AP906" s="17"/>
      <c r="AQ906" s="8"/>
      <c r="AR906" s="8"/>
      <c r="CA906" s="18"/>
    </row>
    <row r="907" spans="19:79" s="4" customFormat="1" x14ac:dyDescent="0.35">
      <c r="S907" s="6"/>
      <c r="T907" s="6"/>
      <c r="AC907" s="5"/>
      <c r="AD907" s="8"/>
      <c r="AE907" s="5"/>
      <c r="AF907" s="5"/>
      <c r="AP907" s="17"/>
      <c r="AQ907" s="8"/>
      <c r="AR907" s="8"/>
      <c r="CA907" s="18"/>
    </row>
    <row r="908" spans="19:79" s="4" customFormat="1" x14ac:dyDescent="0.35">
      <c r="S908" s="6"/>
      <c r="T908" s="6"/>
      <c r="AC908" s="5"/>
      <c r="AD908" s="8"/>
      <c r="AE908" s="5"/>
      <c r="AF908" s="5"/>
      <c r="AP908" s="17"/>
      <c r="AQ908" s="8"/>
      <c r="AR908" s="8"/>
      <c r="CA908" s="18"/>
    </row>
    <row r="909" spans="19:79" s="4" customFormat="1" x14ac:dyDescent="0.35">
      <c r="S909" s="6"/>
      <c r="T909" s="6"/>
      <c r="AC909" s="5"/>
      <c r="AD909" s="8"/>
      <c r="AE909" s="5"/>
      <c r="AF909" s="5"/>
      <c r="AP909" s="17"/>
      <c r="AQ909" s="8"/>
      <c r="AR909" s="8"/>
      <c r="CA909" s="18"/>
    </row>
    <row r="910" spans="19:79" s="4" customFormat="1" x14ac:dyDescent="0.35">
      <c r="S910" s="6"/>
      <c r="T910" s="6"/>
      <c r="AC910" s="5"/>
      <c r="AD910" s="8"/>
      <c r="AE910" s="5"/>
      <c r="AF910" s="5"/>
      <c r="AP910" s="17"/>
      <c r="AQ910" s="8"/>
      <c r="AR910" s="8"/>
      <c r="CA910" s="18"/>
    </row>
    <row r="911" spans="19:79" s="4" customFormat="1" x14ac:dyDescent="0.35">
      <c r="S911" s="6"/>
      <c r="T911" s="6"/>
      <c r="AC911" s="5"/>
      <c r="AD911" s="8"/>
      <c r="AE911" s="5"/>
      <c r="AF911" s="5"/>
      <c r="AP911" s="17"/>
      <c r="AQ911" s="8"/>
      <c r="AR911" s="8"/>
      <c r="CA911" s="18"/>
    </row>
    <row r="912" spans="19:79" s="4" customFormat="1" x14ac:dyDescent="0.35">
      <c r="S912" s="6"/>
      <c r="T912" s="6"/>
      <c r="AC912" s="5"/>
      <c r="AD912" s="8"/>
      <c r="AE912" s="5"/>
      <c r="AF912" s="5"/>
      <c r="AP912" s="17"/>
      <c r="AQ912" s="8"/>
      <c r="AR912" s="8"/>
      <c r="CA912" s="18"/>
    </row>
    <row r="913" spans="19:79" s="4" customFormat="1" x14ac:dyDescent="0.35">
      <c r="S913" s="6"/>
      <c r="T913" s="6"/>
      <c r="AC913" s="5"/>
      <c r="AD913" s="8"/>
      <c r="AE913" s="5"/>
      <c r="AF913" s="5"/>
      <c r="AP913" s="17"/>
      <c r="AQ913" s="8"/>
      <c r="AR913" s="8"/>
      <c r="CA913" s="18"/>
    </row>
    <row r="914" spans="19:79" s="4" customFormat="1" x14ac:dyDescent="0.35">
      <c r="S914" s="6"/>
      <c r="T914" s="6"/>
      <c r="AC914" s="5"/>
      <c r="AD914" s="8"/>
      <c r="AE914" s="5"/>
      <c r="AF914" s="5"/>
      <c r="AP914" s="17"/>
      <c r="AQ914" s="8"/>
      <c r="AR914" s="8"/>
      <c r="CA914" s="18"/>
    </row>
    <row r="915" spans="19:79" s="4" customFormat="1" x14ac:dyDescent="0.35">
      <c r="S915" s="6"/>
      <c r="T915" s="6"/>
      <c r="AC915" s="5"/>
      <c r="AD915" s="8"/>
      <c r="AE915" s="5"/>
      <c r="AF915" s="5"/>
      <c r="AP915" s="17"/>
      <c r="AQ915" s="8"/>
      <c r="AR915" s="8"/>
      <c r="CA915" s="18"/>
    </row>
    <row r="916" spans="19:79" s="4" customFormat="1" x14ac:dyDescent="0.35">
      <c r="S916" s="6"/>
      <c r="T916" s="6"/>
      <c r="AC916" s="5"/>
      <c r="AD916" s="8"/>
      <c r="AE916" s="5"/>
      <c r="AF916" s="5"/>
      <c r="AP916" s="17"/>
      <c r="AQ916" s="8"/>
      <c r="AR916" s="8"/>
      <c r="CA916" s="18"/>
    </row>
    <row r="917" spans="19:79" s="4" customFormat="1" x14ac:dyDescent="0.35">
      <c r="S917" s="6"/>
      <c r="T917" s="6"/>
      <c r="AC917" s="5"/>
      <c r="AD917" s="8"/>
      <c r="AE917" s="5"/>
      <c r="AF917" s="5"/>
      <c r="AP917" s="17"/>
      <c r="AQ917" s="8"/>
      <c r="AR917" s="8"/>
      <c r="CA917" s="18"/>
    </row>
    <row r="918" spans="19:79" s="4" customFormat="1" x14ac:dyDescent="0.35">
      <c r="S918" s="6"/>
      <c r="T918" s="6"/>
      <c r="AC918" s="5"/>
      <c r="AD918" s="8"/>
      <c r="AE918" s="5"/>
      <c r="AF918" s="5"/>
      <c r="AP918" s="17"/>
      <c r="AQ918" s="8"/>
      <c r="AR918" s="8"/>
      <c r="CA918" s="18"/>
    </row>
    <row r="919" spans="19:79" s="4" customFormat="1" x14ac:dyDescent="0.35">
      <c r="S919" s="6"/>
      <c r="T919" s="6"/>
      <c r="AC919" s="5"/>
      <c r="AD919" s="8"/>
      <c r="AE919" s="5"/>
      <c r="AF919" s="5"/>
      <c r="AP919" s="17"/>
      <c r="AQ919" s="8"/>
      <c r="AR919" s="8"/>
      <c r="CA919" s="18"/>
    </row>
    <row r="920" spans="19:79" s="4" customFormat="1" x14ac:dyDescent="0.35">
      <c r="S920" s="6"/>
      <c r="T920" s="6"/>
      <c r="AC920" s="5"/>
      <c r="AD920" s="8"/>
      <c r="AE920" s="5"/>
      <c r="AF920" s="5"/>
      <c r="AP920" s="17"/>
      <c r="AQ920" s="8"/>
      <c r="AR920" s="8"/>
      <c r="CA920" s="18"/>
    </row>
    <row r="921" spans="19:79" s="4" customFormat="1" x14ac:dyDescent="0.35">
      <c r="S921" s="6"/>
      <c r="T921" s="6"/>
      <c r="AC921" s="5"/>
      <c r="AD921" s="8"/>
      <c r="AE921" s="5"/>
      <c r="AF921" s="5"/>
      <c r="AP921" s="17"/>
      <c r="AQ921" s="8"/>
      <c r="AR921" s="8"/>
      <c r="CA921" s="18"/>
    </row>
    <row r="922" spans="19:79" s="4" customFormat="1" x14ac:dyDescent="0.35">
      <c r="S922" s="6"/>
      <c r="T922" s="6"/>
      <c r="AC922" s="5"/>
      <c r="AD922" s="8"/>
      <c r="AE922" s="5"/>
      <c r="AF922" s="5"/>
      <c r="AP922" s="17"/>
      <c r="AQ922" s="8"/>
      <c r="AR922" s="8"/>
      <c r="CA922" s="18"/>
    </row>
    <row r="923" spans="19:79" s="4" customFormat="1" x14ac:dyDescent="0.35">
      <c r="S923" s="6"/>
      <c r="T923" s="6"/>
      <c r="AC923" s="5"/>
      <c r="AD923" s="8"/>
      <c r="AE923" s="5"/>
      <c r="AF923" s="5"/>
      <c r="AP923" s="17"/>
      <c r="AQ923" s="8"/>
      <c r="AR923" s="8"/>
      <c r="CA923" s="18"/>
    </row>
    <row r="924" spans="19:79" s="4" customFormat="1" x14ac:dyDescent="0.35">
      <c r="S924" s="6"/>
      <c r="T924" s="6"/>
      <c r="AC924" s="5"/>
      <c r="AD924" s="8"/>
      <c r="AE924" s="5"/>
      <c r="AF924" s="5"/>
      <c r="AP924" s="17"/>
      <c r="AQ924" s="8"/>
      <c r="AR924" s="8"/>
      <c r="CA924" s="18"/>
    </row>
    <row r="925" spans="19:79" s="4" customFormat="1" x14ac:dyDescent="0.35">
      <c r="S925" s="6"/>
      <c r="T925" s="6"/>
      <c r="AC925" s="5"/>
      <c r="AD925" s="8"/>
      <c r="AE925" s="5"/>
      <c r="AF925" s="5"/>
      <c r="AP925" s="17"/>
      <c r="AQ925" s="8"/>
      <c r="AR925" s="8"/>
      <c r="CA925" s="18"/>
    </row>
    <row r="926" spans="19:79" s="4" customFormat="1" x14ac:dyDescent="0.35">
      <c r="S926" s="6"/>
      <c r="T926" s="6"/>
      <c r="AC926" s="5"/>
      <c r="AD926" s="8"/>
      <c r="AE926" s="5"/>
      <c r="AF926" s="5"/>
      <c r="AP926" s="17"/>
      <c r="AQ926" s="8"/>
      <c r="AR926" s="8"/>
      <c r="CA926" s="18"/>
    </row>
    <row r="927" spans="19:79" s="4" customFormat="1" x14ac:dyDescent="0.35">
      <c r="S927" s="6"/>
      <c r="T927" s="6"/>
      <c r="AC927" s="5"/>
      <c r="AD927" s="8"/>
      <c r="AE927" s="5"/>
      <c r="AF927" s="5"/>
      <c r="AP927" s="17"/>
      <c r="AQ927" s="8"/>
      <c r="AR927" s="8"/>
      <c r="CA927" s="18"/>
    </row>
    <row r="928" spans="19:79" s="4" customFormat="1" x14ac:dyDescent="0.35">
      <c r="S928" s="6"/>
      <c r="T928" s="6"/>
      <c r="AC928" s="5"/>
      <c r="AD928" s="8"/>
      <c r="AE928" s="5"/>
      <c r="AF928" s="5"/>
      <c r="AP928" s="17"/>
      <c r="AQ928" s="8"/>
      <c r="AR928" s="8"/>
      <c r="CA928" s="18"/>
    </row>
    <row r="929" spans="19:79" s="4" customFormat="1" x14ac:dyDescent="0.35">
      <c r="S929" s="6"/>
      <c r="T929" s="6"/>
      <c r="AC929" s="5"/>
      <c r="AD929" s="8"/>
      <c r="AE929" s="5"/>
      <c r="AF929" s="5"/>
      <c r="AP929" s="17"/>
      <c r="AQ929" s="8"/>
      <c r="AR929" s="8"/>
      <c r="CA929" s="18"/>
    </row>
    <row r="930" spans="19:79" s="4" customFormat="1" x14ac:dyDescent="0.35">
      <c r="S930" s="6"/>
      <c r="T930" s="6"/>
      <c r="AC930" s="5"/>
      <c r="AD930" s="8"/>
      <c r="AE930" s="5"/>
      <c r="AF930" s="5"/>
      <c r="AP930" s="17"/>
      <c r="AQ930" s="8"/>
      <c r="AR930" s="8"/>
      <c r="CA930" s="18"/>
    </row>
    <row r="931" spans="19:79" s="4" customFormat="1" x14ac:dyDescent="0.35">
      <c r="S931" s="6"/>
      <c r="T931" s="6"/>
      <c r="AC931" s="5"/>
      <c r="AD931" s="8"/>
      <c r="AE931" s="5"/>
      <c r="AF931" s="5"/>
      <c r="AP931" s="17"/>
      <c r="AQ931" s="8"/>
      <c r="AR931" s="8"/>
      <c r="CA931" s="18"/>
    </row>
    <row r="932" spans="19:79" s="4" customFormat="1" x14ac:dyDescent="0.35">
      <c r="S932" s="6"/>
      <c r="T932" s="6"/>
      <c r="AC932" s="5"/>
      <c r="AD932" s="8"/>
      <c r="AE932" s="5"/>
      <c r="AF932" s="5"/>
      <c r="AP932" s="17"/>
      <c r="AQ932" s="8"/>
      <c r="AR932" s="8"/>
      <c r="CA932" s="18"/>
    </row>
    <row r="933" spans="19:79" s="4" customFormat="1" x14ac:dyDescent="0.35">
      <c r="S933" s="6"/>
      <c r="T933" s="6"/>
      <c r="AC933" s="5"/>
      <c r="AD933" s="8"/>
      <c r="AE933" s="5"/>
      <c r="AF933" s="5"/>
      <c r="AP933" s="17"/>
      <c r="AQ933" s="8"/>
      <c r="AR933" s="8"/>
      <c r="CA933" s="18"/>
    </row>
    <row r="934" spans="19:79" s="4" customFormat="1" x14ac:dyDescent="0.35">
      <c r="S934" s="6"/>
      <c r="T934" s="6"/>
      <c r="AC934" s="5"/>
      <c r="AD934" s="8"/>
      <c r="AE934" s="5"/>
      <c r="AF934" s="5"/>
      <c r="AP934" s="17"/>
      <c r="AQ934" s="8"/>
      <c r="AR934" s="8"/>
      <c r="CA934" s="18"/>
    </row>
    <row r="935" spans="19:79" s="4" customFormat="1" x14ac:dyDescent="0.35">
      <c r="S935" s="6"/>
      <c r="T935" s="6"/>
      <c r="AC935" s="5"/>
      <c r="AD935" s="8"/>
      <c r="AE935" s="5"/>
      <c r="AF935" s="5"/>
      <c r="AP935" s="17"/>
      <c r="AQ935" s="8"/>
      <c r="AR935" s="8"/>
      <c r="CA935" s="18"/>
    </row>
    <row r="936" spans="19:79" s="4" customFormat="1" x14ac:dyDescent="0.35">
      <c r="S936" s="6"/>
      <c r="T936" s="6"/>
      <c r="AC936" s="5"/>
      <c r="AD936" s="8"/>
      <c r="AE936" s="5"/>
      <c r="AF936" s="5"/>
      <c r="AP936" s="17"/>
      <c r="AQ936" s="8"/>
      <c r="AR936" s="8"/>
      <c r="CA936" s="18"/>
    </row>
    <row r="937" spans="19:79" s="4" customFormat="1" x14ac:dyDescent="0.35">
      <c r="S937" s="6"/>
      <c r="T937" s="6"/>
      <c r="AC937" s="5"/>
      <c r="AD937" s="8"/>
      <c r="AE937" s="5"/>
      <c r="AF937" s="5"/>
      <c r="AP937" s="17"/>
      <c r="AQ937" s="8"/>
      <c r="AR937" s="8"/>
      <c r="CA937" s="18"/>
    </row>
    <row r="938" spans="19:79" s="4" customFormat="1" x14ac:dyDescent="0.35">
      <c r="S938" s="6"/>
      <c r="T938" s="6"/>
      <c r="AC938" s="5"/>
      <c r="AD938" s="8"/>
      <c r="AE938" s="5"/>
      <c r="AF938" s="5"/>
      <c r="AP938" s="17"/>
      <c r="AQ938" s="8"/>
      <c r="AR938" s="8"/>
      <c r="CA938" s="18"/>
    </row>
    <row r="939" spans="19:79" s="4" customFormat="1" x14ac:dyDescent="0.35">
      <c r="S939" s="6"/>
      <c r="T939" s="6"/>
      <c r="AC939" s="5"/>
      <c r="AD939" s="8"/>
      <c r="AE939" s="5"/>
      <c r="AF939" s="5"/>
      <c r="AP939" s="17"/>
      <c r="AQ939" s="8"/>
      <c r="AR939" s="8"/>
      <c r="CA939" s="18"/>
    </row>
    <row r="940" spans="19:79" s="4" customFormat="1" x14ac:dyDescent="0.35">
      <c r="S940" s="6"/>
      <c r="T940" s="6"/>
      <c r="AC940" s="5"/>
      <c r="AD940" s="8"/>
      <c r="AE940" s="5"/>
      <c r="AF940" s="5"/>
      <c r="AP940" s="17"/>
      <c r="AQ940" s="8"/>
      <c r="AR940" s="8"/>
      <c r="CA940" s="18"/>
    </row>
    <row r="941" spans="19:79" s="4" customFormat="1" x14ac:dyDescent="0.35">
      <c r="S941" s="6"/>
      <c r="T941" s="6"/>
      <c r="AC941" s="5"/>
      <c r="AD941" s="8"/>
      <c r="AE941" s="5"/>
      <c r="AF941" s="5"/>
      <c r="AP941" s="17"/>
      <c r="AQ941" s="8"/>
      <c r="AR941" s="8"/>
      <c r="CA941" s="18"/>
    </row>
    <row r="942" spans="19:79" s="4" customFormat="1" x14ac:dyDescent="0.35">
      <c r="S942" s="6"/>
      <c r="T942" s="6"/>
      <c r="AC942" s="5"/>
      <c r="AD942" s="8"/>
      <c r="AE942" s="5"/>
      <c r="AF942" s="5"/>
      <c r="AP942" s="17"/>
      <c r="AQ942" s="8"/>
      <c r="AR942" s="8"/>
      <c r="CA942" s="18"/>
    </row>
    <row r="943" spans="19:79" s="4" customFormat="1" x14ac:dyDescent="0.35">
      <c r="S943" s="6"/>
      <c r="T943" s="6"/>
      <c r="AC943" s="5"/>
      <c r="AD943" s="8"/>
      <c r="AE943" s="5"/>
      <c r="AF943" s="5"/>
      <c r="AP943" s="17"/>
      <c r="AQ943" s="8"/>
      <c r="AR943" s="8"/>
      <c r="CA943" s="18"/>
    </row>
    <row r="944" spans="19:79" s="4" customFormat="1" x14ac:dyDescent="0.35">
      <c r="S944" s="6"/>
      <c r="T944" s="6"/>
      <c r="AC944" s="5"/>
      <c r="AD944" s="8"/>
      <c r="AE944" s="5"/>
      <c r="AF944" s="5"/>
      <c r="AP944" s="17"/>
      <c r="AQ944" s="8"/>
      <c r="AR944" s="8"/>
      <c r="CA944" s="18"/>
    </row>
    <row r="945" spans="19:79" s="4" customFormat="1" x14ac:dyDescent="0.35">
      <c r="S945" s="6"/>
      <c r="T945" s="6"/>
      <c r="AC945" s="5"/>
      <c r="AD945" s="8"/>
      <c r="AE945" s="5"/>
      <c r="AF945" s="5"/>
      <c r="AP945" s="17"/>
      <c r="AQ945" s="8"/>
      <c r="AR945" s="8"/>
      <c r="CA945" s="18"/>
    </row>
    <row r="946" spans="19:79" s="4" customFormat="1" x14ac:dyDescent="0.35">
      <c r="S946" s="6"/>
      <c r="T946" s="6"/>
      <c r="AC946" s="5"/>
      <c r="AD946" s="8"/>
      <c r="AE946" s="5"/>
      <c r="AF946" s="5"/>
      <c r="AP946" s="17"/>
      <c r="AQ946" s="8"/>
      <c r="AR946" s="8"/>
      <c r="CA946" s="18"/>
    </row>
    <row r="947" spans="19:79" s="4" customFormat="1" x14ac:dyDescent="0.35">
      <c r="S947" s="6"/>
      <c r="T947" s="6"/>
      <c r="AC947" s="5"/>
      <c r="AD947" s="8"/>
      <c r="AE947" s="5"/>
      <c r="AF947" s="5"/>
      <c r="AP947" s="17"/>
      <c r="AQ947" s="8"/>
      <c r="AR947" s="8"/>
      <c r="CA947" s="18"/>
    </row>
    <row r="948" spans="19:79" s="4" customFormat="1" x14ac:dyDescent="0.35">
      <c r="S948" s="6"/>
      <c r="T948" s="6"/>
      <c r="AC948" s="5"/>
      <c r="AD948" s="8"/>
      <c r="AE948" s="5"/>
      <c r="AF948" s="5"/>
      <c r="AP948" s="17"/>
      <c r="AQ948" s="8"/>
      <c r="AR948" s="8"/>
      <c r="CA948" s="18"/>
    </row>
    <row r="949" spans="19:79" s="4" customFormat="1" x14ac:dyDescent="0.35">
      <c r="S949" s="6"/>
      <c r="T949" s="6"/>
      <c r="AC949" s="5"/>
      <c r="AD949" s="8"/>
      <c r="AE949" s="5"/>
      <c r="AF949" s="5"/>
      <c r="AP949" s="17"/>
      <c r="AQ949" s="8"/>
      <c r="AR949" s="8"/>
      <c r="CA949" s="18"/>
    </row>
    <row r="950" spans="19:79" s="4" customFormat="1" x14ac:dyDescent="0.35">
      <c r="S950" s="6"/>
      <c r="T950" s="6"/>
      <c r="AC950" s="5"/>
      <c r="AD950" s="8"/>
      <c r="AE950" s="5"/>
      <c r="AF950" s="5"/>
      <c r="AP950" s="17"/>
      <c r="AQ950" s="8"/>
      <c r="AR950" s="8"/>
      <c r="CA950" s="18"/>
    </row>
    <row r="951" spans="19:79" s="4" customFormat="1" x14ac:dyDescent="0.35">
      <c r="S951" s="6"/>
      <c r="T951" s="6"/>
      <c r="AC951" s="5"/>
      <c r="AD951" s="8"/>
      <c r="AE951" s="5"/>
      <c r="AF951" s="5"/>
      <c r="AP951" s="17"/>
      <c r="AQ951" s="8"/>
      <c r="AR951" s="8"/>
      <c r="CA951" s="18"/>
    </row>
    <row r="952" spans="19:79" s="4" customFormat="1" x14ac:dyDescent="0.35">
      <c r="S952" s="6"/>
      <c r="T952" s="6"/>
      <c r="AC952" s="5"/>
      <c r="AD952" s="8"/>
      <c r="AE952" s="5"/>
      <c r="AF952" s="5"/>
      <c r="AP952" s="17"/>
      <c r="AQ952" s="8"/>
      <c r="AR952" s="8"/>
      <c r="CA952" s="18"/>
    </row>
    <row r="953" spans="19:79" s="4" customFormat="1" x14ac:dyDescent="0.35">
      <c r="S953" s="6"/>
      <c r="T953" s="6"/>
      <c r="AC953" s="5"/>
      <c r="AD953" s="8"/>
      <c r="AE953" s="5"/>
      <c r="AF953" s="5"/>
      <c r="AP953" s="17"/>
      <c r="AQ953" s="8"/>
      <c r="AR953" s="8"/>
      <c r="CA953" s="18"/>
    </row>
    <row r="954" spans="19:79" s="4" customFormat="1" x14ac:dyDescent="0.35">
      <c r="S954" s="6"/>
      <c r="T954" s="6"/>
      <c r="AC954" s="5"/>
      <c r="AD954" s="8"/>
      <c r="AE954" s="5"/>
      <c r="AF954" s="5"/>
      <c r="AP954" s="17"/>
      <c r="AQ954" s="8"/>
      <c r="AR954" s="8"/>
      <c r="CA954" s="18"/>
    </row>
    <row r="955" spans="19:79" s="4" customFormat="1" x14ac:dyDescent="0.35">
      <c r="S955" s="6"/>
      <c r="T955" s="6"/>
      <c r="AC955" s="5"/>
      <c r="AD955" s="8"/>
      <c r="AE955" s="5"/>
      <c r="AF955" s="5"/>
      <c r="AP955" s="17"/>
      <c r="AQ955" s="8"/>
      <c r="AR955" s="8"/>
      <c r="CA955" s="18"/>
    </row>
    <row r="956" spans="19:79" s="4" customFormat="1" x14ac:dyDescent="0.35">
      <c r="S956" s="6"/>
      <c r="T956" s="6"/>
      <c r="AC956" s="5"/>
      <c r="AD956" s="8"/>
      <c r="AE956" s="5"/>
      <c r="AF956" s="5"/>
      <c r="AP956" s="17"/>
      <c r="AQ956" s="8"/>
      <c r="AR956" s="8"/>
      <c r="CA956" s="18"/>
    </row>
    <row r="957" spans="19:79" s="4" customFormat="1" x14ac:dyDescent="0.35">
      <c r="S957" s="6"/>
      <c r="T957" s="6"/>
      <c r="AC957" s="5"/>
      <c r="AD957" s="8"/>
      <c r="AE957" s="5"/>
      <c r="AF957" s="5"/>
      <c r="AP957" s="17"/>
      <c r="AQ957" s="8"/>
      <c r="AR957" s="8"/>
      <c r="CA957" s="18"/>
    </row>
    <row r="958" spans="19:79" s="4" customFormat="1" x14ac:dyDescent="0.35">
      <c r="S958" s="6"/>
      <c r="T958" s="6"/>
      <c r="AC958" s="5"/>
      <c r="AD958" s="8"/>
      <c r="AE958" s="5"/>
      <c r="AF958" s="5"/>
      <c r="AP958" s="17"/>
      <c r="AQ958" s="8"/>
      <c r="AR958" s="8"/>
      <c r="CA958" s="18"/>
    </row>
    <row r="959" spans="19:79" s="4" customFormat="1" x14ac:dyDescent="0.35">
      <c r="S959" s="6"/>
      <c r="T959" s="6"/>
      <c r="AC959" s="5"/>
      <c r="AD959" s="8"/>
      <c r="AE959" s="5"/>
      <c r="AF959" s="5"/>
      <c r="AP959" s="17"/>
      <c r="AQ959" s="8"/>
      <c r="AR959" s="8"/>
      <c r="CA959" s="18"/>
    </row>
    <row r="960" spans="19:79" s="4" customFormat="1" x14ac:dyDescent="0.35">
      <c r="S960" s="6"/>
      <c r="T960" s="6"/>
      <c r="AC960" s="5"/>
      <c r="AD960" s="8"/>
      <c r="AE960" s="5"/>
      <c r="AF960" s="5"/>
      <c r="AP960" s="17"/>
      <c r="AQ960" s="8"/>
      <c r="AR960" s="8"/>
      <c r="CA960" s="18"/>
    </row>
    <row r="961" spans="19:79" s="4" customFormat="1" x14ac:dyDescent="0.35">
      <c r="S961" s="6"/>
      <c r="T961" s="6"/>
      <c r="AC961" s="5"/>
      <c r="AD961" s="8"/>
      <c r="AE961" s="5"/>
      <c r="AF961" s="5"/>
      <c r="AP961" s="17"/>
      <c r="AQ961" s="8"/>
      <c r="AR961" s="8"/>
      <c r="CA961" s="18"/>
    </row>
    <row r="962" spans="19:79" s="4" customFormat="1" x14ac:dyDescent="0.35">
      <c r="S962" s="6"/>
      <c r="T962" s="6"/>
      <c r="AC962" s="5"/>
      <c r="AD962" s="8"/>
      <c r="AE962" s="5"/>
      <c r="AF962" s="5"/>
      <c r="AP962" s="17"/>
      <c r="AQ962" s="8"/>
      <c r="AR962" s="8"/>
      <c r="CA962" s="18"/>
    </row>
    <row r="963" spans="19:79" s="4" customFormat="1" x14ac:dyDescent="0.35">
      <c r="S963" s="6"/>
      <c r="T963" s="6"/>
      <c r="AC963" s="5"/>
      <c r="AD963" s="8"/>
      <c r="AE963" s="5"/>
      <c r="AF963" s="5"/>
      <c r="AP963" s="17"/>
      <c r="AQ963" s="8"/>
      <c r="AR963" s="8"/>
      <c r="CA963" s="18"/>
    </row>
    <row r="964" spans="19:79" s="4" customFormat="1" x14ac:dyDescent="0.35">
      <c r="S964" s="6"/>
      <c r="T964" s="6"/>
      <c r="AC964" s="5"/>
      <c r="AD964" s="8"/>
      <c r="AE964" s="5"/>
      <c r="AF964" s="5"/>
      <c r="AP964" s="17"/>
      <c r="AQ964" s="8"/>
      <c r="AR964" s="8"/>
      <c r="CA964" s="18"/>
    </row>
    <row r="965" spans="19:79" s="4" customFormat="1" x14ac:dyDescent="0.35">
      <c r="S965" s="6"/>
      <c r="T965" s="6"/>
      <c r="AC965" s="5"/>
      <c r="AD965" s="8"/>
      <c r="AE965" s="5"/>
      <c r="AF965" s="5"/>
      <c r="AP965" s="17"/>
      <c r="AQ965" s="8"/>
      <c r="AR965" s="8"/>
      <c r="CA965" s="18"/>
    </row>
    <row r="966" spans="19:79" s="4" customFormat="1" x14ac:dyDescent="0.35">
      <c r="S966" s="6"/>
      <c r="T966" s="6"/>
      <c r="AC966" s="5"/>
      <c r="AD966" s="8"/>
      <c r="AE966" s="5"/>
      <c r="AF966" s="5"/>
      <c r="AP966" s="17"/>
      <c r="AQ966" s="8"/>
      <c r="AR966" s="8"/>
      <c r="CA966" s="18"/>
    </row>
    <row r="967" spans="19:79" s="4" customFormat="1" x14ac:dyDescent="0.35">
      <c r="S967" s="6"/>
      <c r="T967" s="6"/>
      <c r="AC967" s="5"/>
      <c r="AD967" s="8"/>
      <c r="AE967" s="5"/>
      <c r="AF967" s="5"/>
      <c r="AP967" s="17"/>
      <c r="AQ967" s="8"/>
      <c r="AR967" s="8"/>
      <c r="CA967" s="18"/>
    </row>
    <row r="968" spans="19:79" s="4" customFormat="1" x14ac:dyDescent="0.35">
      <c r="S968" s="6"/>
      <c r="T968" s="6"/>
      <c r="AC968" s="5"/>
      <c r="AD968" s="8"/>
      <c r="AE968" s="5"/>
      <c r="AF968" s="5"/>
      <c r="AP968" s="17"/>
      <c r="AQ968" s="8"/>
      <c r="AR968" s="8"/>
      <c r="CA968" s="18"/>
    </row>
    <row r="969" spans="19:79" s="4" customFormat="1" x14ac:dyDescent="0.35">
      <c r="S969" s="6"/>
      <c r="T969" s="6"/>
      <c r="AC969" s="5"/>
      <c r="AD969" s="8"/>
      <c r="AE969" s="5"/>
      <c r="AF969" s="5"/>
      <c r="AP969" s="17"/>
      <c r="AQ969" s="8"/>
      <c r="AR969" s="8"/>
      <c r="CA969" s="18"/>
    </row>
    <row r="970" spans="19:79" s="4" customFormat="1" x14ac:dyDescent="0.35">
      <c r="S970" s="6"/>
      <c r="T970" s="6"/>
      <c r="AC970" s="5"/>
      <c r="AD970" s="8"/>
      <c r="AE970" s="5"/>
      <c r="AF970" s="5"/>
      <c r="AP970" s="17"/>
      <c r="AQ970" s="8"/>
      <c r="AR970" s="8"/>
      <c r="CA970" s="18"/>
    </row>
    <row r="971" spans="19:79" s="4" customFormat="1" x14ac:dyDescent="0.35">
      <c r="S971" s="6"/>
      <c r="T971" s="6"/>
      <c r="AC971" s="5"/>
      <c r="AD971" s="8"/>
      <c r="AE971" s="5"/>
      <c r="AF971" s="5"/>
      <c r="AP971" s="17"/>
      <c r="AQ971" s="8"/>
      <c r="AR971" s="8"/>
      <c r="CA971" s="18"/>
    </row>
    <row r="972" spans="19:79" s="4" customFormat="1" x14ac:dyDescent="0.35">
      <c r="S972" s="6"/>
      <c r="T972" s="6"/>
      <c r="AC972" s="5"/>
      <c r="AD972" s="8"/>
      <c r="AE972" s="5"/>
      <c r="AF972" s="5"/>
      <c r="AP972" s="17"/>
      <c r="AQ972" s="8"/>
      <c r="AR972" s="8"/>
      <c r="CA972" s="18"/>
    </row>
    <row r="973" spans="19:79" s="4" customFormat="1" x14ac:dyDescent="0.35">
      <c r="S973" s="6"/>
      <c r="T973" s="6"/>
      <c r="AC973" s="5"/>
      <c r="AD973" s="8"/>
      <c r="AE973" s="5"/>
      <c r="AF973" s="5"/>
      <c r="AP973" s="17"/>
      <c r="AQ973" s="8"/>
      <c r="AR973" s="8"/>
      <c r="CA973" s="18"/>
    </row>
    <row r="974" spans="19:79" s="4" customFormat="1" x14ac:dyDescent="0.35">
      <c r="S974" s="6"/>
      <c r="T974" s="6"/>
      <c r="AC974" s="5"/>
      <c r="AD974" s="8"/>
      <c r="AE974" s="5"/>
      <c r="AF974" s="5"/>
      <c r="AP974" s="17"/>
      <c r="AQ974" s="8"/>
      <c r="AR974" s="8"/>
      <c r="CA974" s="18"/>
    </row>
    <row r="975" spans="19:79" s="4" customFormat="1" x14ac:dyDescent="0.35">
      <c r="S975" s="6"/>
      <c r="T975" s="6"/>
      <c r="AC975" s="5"/>
      <c r="AD975" s="8"/>
      <c r="AE975" s="5"/>
      <c r="AF975" s="5"/>
      <c r="AP975" s="17"/>
      <c r="AQ975" s="8"/>
      <c r="AR975" s="8"/>
      <c r="CA975" s="18"/>
    </row>
    <row r="976" spans="19:79" s="4" customFormat="1" x14ac:dyDescent="0.35">
      <c r="S976" s="6"/>
      <c r="T976" s="6"/>
      <c r="AC976" s="5"/>
      <c r="AD976" s="8"/>
      <c r="AE976" s="5"/>
      <c r="AF976" s="5"/>
      <c r="AP976" s="17"/>
      <c r="AQ976" s="8"/>
      <c r="AR976" s="8"/>
      <c r="CA976" s="18"/>
    </row>
    <row r="977" spans="19:79" s="4" customFormat="1" x14ac:dyDescent="0.35">
      <c r="S977" s="6"/>
      <c r="T977" s="6"/>
      <c r="AC977" s="5"/>
      <c r="AD977" s="8"/>
      <c r="AE977" s="5"/>
      <c r="AF977" s="5"/>
      <c r="AP977" s="17"/>
      <c r="AQ977" s="8"/>
      <c r="AR977" s="8"/>
      <c r="CA977" s="18"/>
    </row>
    <row r="978" spans="19:79" s="4" customFormat="1" x14ac:dyDescent="0.35">
      <c r="S978" s="6"/>
      <c r="T978" s="6"/>
      <c r="AC978" s="5"/>
      <c r="AD978" s="8"/>
      <c r="AE978" s="5"/>
      <c r="AF978" s="5"/>
      <c r="AP978" s="17"/>
      <c r="AQ978" s="8"/>
      <c r="AR978" s="8"/>
      <c r="CA978" s="18"/>
    </row>
    <row r="979" spans="19:79" s="4" customFormat="1" x14ac:dyDescent="0.35">
      <c r="S979" s="6"/>
      <c r="T979" s="6"/>
      <c r="AC979" s="5"/>
      <c r="AD979" s="8"/>
      <c r="AE979" s="5"/>
      <c r="AF979" s="5"/>
      <c r="AP979" s="17"/>
      <c r="AQ979" s="8"/>
      <c r="AR979" s="8"/>
      <c r="CA979" s="18"/>
    </row>
    <row r="980" spans="19:79" s="4" customFormat="1" x14ac:dyDescent="0.35">
      <c r="S980" s="6"/>
      <c r="T980" s="6"/>
      <c r="AC980" s="5"/>
      <c r="AD980" s="8"/>
      <c r="AE980" s="5"/>
      <c r="AF980" s="5"/>
      <c r="AP980" s="17"/>
      <c r="AQ980" s="8"/>
      <c r="AR980" s="8"/>
      <c r="CA980" s="18"/>
    </row>
    <row r="981" spans="19:79" s="4" customFormat="1" x14ac:dyDescent="0.35">
      <c r="S981" s="6"/>
      <c r="T981" s="6"/>
      <c r="AC981" s="5"/>
      <c r="AD981" s="8"/>
      <c r="AE981" s="5"/>
      <c r="AF981" s="5"/>
      <c r="AP981" s="17"/>
      <c r="AQ981" s="8"/>
      <c r="AR981" s="8"/>
      <c r="CA981" s="18"/>
    </row>
    <row r="982" spans="19:79" s="4" customFormat="1" x14ac:dyDescent="0.35">
      <c r="S982" s="6"/>
      <c r="T982" s="6"/>
      <c r="AC982" s="5"/>
      <c r="AD982" s="8"/>
      <c r="AE982" s="5"/>
      <c r="AF982" s="5"/>
      <c r="AP982" s="17"/>
      <c r="AQ982" s="8"/>
      <c r="AR982" s="8"/>
      <c r="CA982" s="18"/>
    </row>
    <row r="983" spans="19:79" s="4" customFormat="1" x14ac:dyDescent="0.35">
      <c r="S983" s="6"/>
      <c r="T983" s="6"/>
      <c r="AC983" s="5"/>
      <c r="AD983" s="8"/>
      <c r="AE983" s="5"/>
      <c r="AF983" s="5"/>
      <c r="AP983" s="17"/>
      <c r="AQ983" s="8"/>
      <c r="AR983" s="8"/>
      <c r="CA983" s="18"/>
    </row>
    <row r="984" spans="19:79" s="4" customFormat="1" x14ac:dyDescent="0.35">
      <c r="S984" s="6"/>
      <c r="T984" s="6"/>
      <c r="AC984" s="5"/>
      <c r="AD984" s="8"/>
      <c r="AE984" s="5"/>
      <c r="AF984" s="5"/>
      <c r="AP984" s="17"/>
      <c r="AQ984" s="8"/>
      <c r="AR984" s="8"/>
      <c r="CA984" s="18"/>
    </row>
    <row r="985" spans="19:79" s="4" customFormat="1" x14ac:dyDescent="0.35">
      <c r="S985" s="6"/>
      <c r="T985" s="6"/>
      <c r="AC985" s="5"/>
      <c r="AD985" s="8"/>
      <c r="AE985" s="5"/>
      <c r="AF985" s="5"/>
      <c r="AP985" s="17"/>
      <c r="AQ985" s="8"/>
      <c r="AR985" s="8"/>
      <c r="CA985" s="18"/>
    </row>
    <row r="986" spans="19:79" s="4" customFormat="1" x14ac:dyDescent="0.35">
      <c r="S986" s="6"/>
      <c r="T986" s="6"/>
      <c r="AC986" s="5"/>
      <c r="AD986" s="8"/>
      <c r="AE986" s="5"/>
      <c r="AF986" s="5"/>
      <c r="AP986" s="17"/>
      <c r="AQ986" s="8"/>
      <c r="AR986" s="8"/>
      <c r="CA986" s="18"/>
    </row>
    <row r="987" spans="19:79" s="4" customFormat="1" x14ac:dyDescent="0.35">
      <c r="S987" s="6"/>
      <c r="T987" s="6"/>
      <c r="AC987" s="5"/>
      <c r="AD987" s="8"/>
      <c r="AE987" s="5"/>
      <c r="AF987" s="5"/>
      <c r="AP987" s="17"/>
      <c r="AQ987" s="8"/>
      <c r="AR987" s="8"/>
      <c r="CA987" s="18"/>
    </row>
    <row r="988" spans="19:79" s="4" customFormat="1" x14ac:dyDescent="0.35">
      <c r="S988" s="6"/>
      <c r="T988" s="6"/>
      <c r="AC988" s="5"/>
      <c r="AD988" s="8"/>
      <c r="AE988" s="5"/>
      <c r="AF988" s="5"/>
      <c r="AP988" s="17"/>
      <c r="AQ988" s="8"/>
      <c r="AR988" s="8"/>
      <c r="CA988" s="18"/>
    </row>
    <row r="989" spans="19:79" s="4" customFormat="1" x14ac:dyDescent="0.35">
      <c r="S989" s="6"/>
      <c r="T989" s="6"/>
      <c r="AC989" s="5"/>
      <c r="AD989" s="8"/>
      <c r="AE989" s="5"/>
      <c r="AF989" s="5"/>
      <c r="AP989" s="17"/>
      <c r="AQ989" s="8"/>
      <c r="AR989" s="8"/>
      <c r="CA989" s="18"/>
    </row>
    <row r="990" spans="19:79" s="4" customFormat="1" x14ac:dyDescent="0.35">
      <c r="S990" s="6"/>
      <c r="T990" s="6"/>
      <c r="AC990" s="5"/>
      <c r="AD990" s="8"/>
      <c r="AE990" s="5"/>
      <c r="AF990" s="5"/>
      <c r="AP990" s="17"/>
      <c r="AQ990" s="8"/>
      <c r="AR990" s="8"/>
      <c r="CA990" s="18"/>
    </row>
    <row r="991" spans="19:79" s="4" customFormat="1" x14ac:dyDescent="0.35">
      <c r="S991" s="6"/>
      <c r="T991" s="6"/>
      <c r="AC991" s="5"/>
      <c r="AD991" s="8"/>
      <c r="AE991" s="5"/>
      <c r="AF991" s="5"/>
      <c r="AP991" s="17"/>
      <c r="AQ991" s="8"/>
      <c r="AR991" s="8"/>
      <c r="CA991" s="18"/>
    </row>
    <row r="992" spans="19:79" s="4" customFormat="1" x14ac:dyDescent="0.35">
      <c r="S992" s="6"/>
      <c r="T992" s="6"/>
      <c r="AC992" s="5"/>
      <c r="AD992" s="8"/>
      <c r="AE992" s="5"/>
      <c r="AF992" s="5"/>
      <c r="AP992" s="17"/>
      <c r="AQ992" s="8"/>
      <c r="AR992" s="8"/>
      <c r="CA992" s="18"/>
    </row>
    <row r="993" spans="19:79" s="4" customFormat="1" x14ac:dyDescent="0.35">
      <c r="S993" s="6"/>
      <c r="T993" s="6"/>
      <c r="AC993" s="5"/>
      <c r="AD993" s="8"/>
      <c r="AE993" s="5"/>
      <c r="AF993" s="5"/>
      <c r="AP993" s="17"/>
      <c r="AQ993" s="8"/>
      <c r="AR993" s="8"/>
      <c r="CA993" s="18"/>
    </row>
    <row r="994" spans="19:79" s="4" customFormat="1" x14ac:dyDescent="0.35">
      <c r="S994" s="6"/>
      <c r="T994" s="6"/>
      <c r="AC994" s="5"/>
      <c r="AD994" s="8"/>
      <c r="AE994" s="5"/>
      <c r="AF994" s="5"/>
      <c r="AP994" s="17"/>
      <c r="AQ994" s="8"/>
      <c r="AR994" s="8"/>
      <c r="CA994" s="18"/>
    </row>
    <row r="995" spans="19:79" s="4" customFormat="1" x14ac:dyDescent="0.35">
      <c r="S995" s="6"/>
      <c r="T995" s="6"/>
      <c r="AC995" s="5"/>
      <c r="AD995" s="8"/>
      <c r="AE995" s="5"/>
      <c r="AF995" s="5"/>
      <c r="AP995" s="17"/>
      <c r="AQ995" s="8"/>
      <c r="AR995" s="8"/>
      <c r="CA995" s="18"/>
    </row>
    <row r="996" spans="19:79" s="4" customFormat="1" x14ac:dyDescent="0.35">
      <c r="S996" s="6"/>
      <c r="T996" s="6"/>
      <c r="AC996" s="5"/>
      <c r="AD996" s="8"/>
      <c r="AE996" s="5"/>
      <c r="AF996" s="5"/>
      <c r="AP996" s="17"/>
      <c r="AQ996" s="8"/>
      <c r="AR996" s="8"/>
      <c r="CA996" s="18"/>
    </row>
    <row r="997" spans="19:79" s="4" customFormat="1" x14ac:dyDescent="0.35">
      <c r="S997" s="6"/>
      <c r="T997" s="6"/>
      <c r="AC997" s="5"/>
      <c r="AD997" s="8"/>
      <c r="AE997" s="5"/>
      <c r="AF997" s="5"/>
      <c r="AP997" s="17"/>
      <c r="AQ997" s="8"/>
      <c r="AR997" s="8"/>
      <c r="CA997" s="18"/>
    </row>
    <row r="998" spans="19:79" s="4" customFormat="1" x14ac:dyDescent="0.35">
      <c r="S998" s="6"/>
      <c r="T998" s="6"/>
      <c r="AC998" s="5"/>
      <c r="AD998" s="8"/>
      <c r="AE998" s="5"/>
      <c r="AF998" s="5"/>
      <c r="AP998" s="17"/>
      <c r="AQ998" s="8"/>
      <c r="AR998" s="8"/>
      <c r="CA998" s="18"/>
    </row>
    <row r="999" spans="19:79" s="4" customFormat="1" x14ac:dyDescent="0.35">
      <c r="S999" s="6"/>
      <c r="T999" s="6"/>
      <c r="AC999" s="5"/>
      <c r="AD999" s="8"/>
      <c r="AE999" s="5"/>
      <c r="AF999" s="5"/>
      <c r="AP999" s="17"/>
      <c r="AQ999" s="8"/>
      <c r="AR999" s="8"/>
      <c r="CA999" s="18"/>
    </row>
    <row r="1000" spans="19:79" s="4" customFormat="1" x14ac:dyDescent="0.35">
      <c r="S1000" s="6"/>
      <c r="T1000" s="6"/>
      <c r="AC1000" s="5"/>
      <c r="AD1000" s="8"/>
      <c r="AE1000" s="5"/>
      <c r="AF1000" s="5"/>
      <c r="AP1000" s="17"/>
      <c r="AQ1000" s="8"/>
      <c r="AR1000" s="8"/>
      <c r="CA1000" s="18"/>
    </row>
    <row r="1001" spans="19:79" s="4" customFormat="1" x14ac:dyDescent="0.35">
      <c r="S1001" s="6"/>
      <c r="T1001" s="6"/>
      <c r="AC1001" s="5"/>
      <c r="AD1001" s="8"/>
      <c r="AE1001" s="5"/>
      <c r="AF1001" s="5"/>
      <c r="AP1001" s="17"/>
      <c r="AQ1001" s="8"/>
      <c r="AR1001" s="8"/>
      <c r="CA1001" s="18"/>
    </row>
    <row r="1002" spans="19:79" s="4" customFormat="1" x14ac:dyDescent="0.35">
      <c r="S1002" s="6"/>
      <c r="T1002" s="6"/>
      <c r="AC1002" s="5"/>
      <c r="AD1002" s="8"/>
      <c r="AE1002" s="5"/>
      <c r="AF1002" s="5"/>
      <c r="AP1002" s="17"/>
      <c r="AQ1002" s="8"/>
      <c r="AR1002" s="8"/>
      <c r="CA1002" s="18"/>
    </row>
    <row r="1003" spans="19:79" s="4" customFormat="1" x14ac:dyDescent="0.35">
      <c r="S1003" s="6"/>
      <c r="T1003" s="6"/>
      <c r="AC1003" s="5"/>
      <c r="AD1003" s="8"/>
      <c r="AE1003" s="5"/>
      <c r="AF1003" s="5"/>
      <c r="AP1003" s="17"/>
      <c r="AQ1003" s="8"/>
      <c r="AR1003" s="8"/>
      <c r="CA1003" s="18"/>
    </row>
    <row r="1004" spans="19:79" s="4" customFormat="1" x14ac:dyDescent="0.35">
      <c r="S1004" s="6"/>
      <c r="T1004" s="6"/>
      <c r="AC1004" s="5"/>
      <c r="AD1004" s="8"/>
      <c r="AE1004" s="5"/>
      <c r="AF1004" s="5"/>
      <c r="AP1004" s="17"/>
      <c r="AQ1004" s="8"/>
      <c r="AR1004" s="8"/>
      <c r="CA1004" s="18"/>
    </row>
    <row r="1005" spans="19:79" s="4" customFormat="1" x14ac:dyDescent="0.35">
      <c r="S1005" s="6"/>
      <c r="T1005" s="6"/>
      <c r="AC1005" s="5"/>
      <c r="AD1005" s="8"/>
      <c r="AE1005" s="5"/>
      <c r="AF1005" s="5"/>
      <c r="AP1005" s="17"/>
      <c r="AQ1005" s="8"/>
      <c r="AR1005" s="8"/>
      <c r="CA1005" s="18"/>
    </row>
    <row r="1006" spans="19:79" s="4" customFormat="1" x14ac:dyDescent="0.35">
      <c r="S1006" s="6"/>
      <c r="T1006" s="6"/>
      <c r="AC1006" s="5"/>
      <c r="AD1006" s="8"/>
      <c r="AE1006" s="5"/>
      <c r="AF1006" s="5"/>
      <c r="AP1006" s="17"/>
      <c r="AQ1006" s="8"/>
      <c r="AR1006" s="8"/>
      <c r="CA1006" s="18"/>
    </row>
    <row r="1007" spans="19:79" s="4" customFormat="1" x14ac:dyDescent="0.35">
      <c r="S1007" s="6"/>
      <c r="T1007" s="6"/>
      <c r="AC1007" s="5"/>
      <c r="AD1007" s="8"/>
      <c r="AE1007" s="5"/>
      <c r="AF1007" s="5"/>
      <c r="AP1007" s="17"/>
      <c r="AQ1007" s="8"/>
      <c r="AR1007" s="8"/>
      <c r="CA1007" s="18"/>
    </row>
    <row r="1008" spans="19:79" s="4" customFormat="1" x14ac:dyDescent="0.35">
      <c r="S1008" s="6"/>
      <c r="T1008" s="6"/>
      <c r="AC1008" s="5"/>
      <c r="AD1008" s="8"/>
      <c r="AE1008" s="5"/>
      <c r="AF1008" s="5"/>
      <c r="AP1008" s="17"/>
      <c r="AQ1008" s="8"/>
      <c r="AR1008" s="8"/>
      <c r="CA1008" s="18"/>
    </row>
    <row r="1009" spans="19:79" s="4" customFormat="1" x14ac:dyDescent="0.35">
      <c r="S1009" s="6"/>
      <c r="T1009" s="6"/>
      <c r="AC1009" s="5"/>
      <c r="AD1009" s="8"/>
      <c r="AE1009" s="5"/>
      <c r="AF1009" s="5"/>
      <c r="AP1009" s="17"/>
      <c r="AQ1009" s="8"/>
      <c r="AR1009" s="8"/>
      <c r="CA1009" s="18"/>
    </row>
    <row r="1010" spans="19:79" s="4" customFormat="1" x14ac:dyDescent="0.35">
      <c r="S1010" s="6"/>
      <c r="T1010" s="6"/>
      <c r="AC1010" s="5"/>
      <c r="AD1010" s="8"/>
      <c r="AE1010" s="5"/>
      <c r="AF1010" s="5"/>
      <c r="AP1010" s="17"/>
      <c r="AQ1010" s="8"/>
      <c r="AR1010" s="8"/>
      <c r="CA1010" s="18"/>
    </row>
    <row r="1011" spans="19:79" s="4" customFormat="1" x14ac:dyDescent="0.35">
      <c r="S1011" s="6"/>
      <c r="T1011" s="6"/>
      <c r="AC1011" s="5"/>
      <c r="AD1011" s="8"/>
      <c r="AE1011" s="5"/>
      <c r="AF1011" s="5"/>
      <c r="AP1011" s="17"/>
      <c r="AQ1011" s="8"/>
      <c r="AR1011" s="8"/>
      <c r="CA1011" s="18"/>
    </row>
    <row r="1012" spans="19:79" s="4" customFormat="1" x14ac:dyDescent="0.35">
      <c r="S1012" s="6"/>
      <c r="T1012" s="6"/>
      <c r="AC1012" s="5"/>
      <c r="AD1012" s="8"/>
      <c r="AE1012" s="5"/>
      <c r="AF1012" s="5"/>
      <c r="AP1012" s="17"/>
      <c r="AQ1012" s="8"/>
      <c r="AR1012" s="8"/>
      <c r="CA1012" s="18"/>
    </row>
    <row r="1013" spans="19:79" s="4" customFormat="1" x14ac:dyDescent="0.35">
      <c r="S1013" s="6"/>
      <c r="T1013" s="6"/>
      <c r="AC1013" s="5"/>
      <c r="AD1013" s="8"/>
      <c r="AE1013" s="5"/>
      <c r="AF1013" s="5"/>
      <c r="AP1013" s="17"/>
      <c r="AQ1013" s="8"/>
      <c r="AR1013" s="8"/>
      <c r="CA1013" s="18"/>
    </row>
    <row r="1014" spans="19:79" s="4" customFormat="1" x14ac:dyDescent="0.35">
      <c r="S1014" s="6"/>
      <c r="T1014" s="6"/>
      <c r="AC1014" s="5"/>
      <c r="AD1014" s="8"/>
      <c r="AE1014" s="5"/>
      <c r="AF1014" s="5"/>
      <c r="AP1014" s="17"/>
      <c r="AQ1014" s="8"/>
      <c r="AR1014" s="8"/>
      <c r="CA1014" s="18"/>
    </row>
    <row r="1015" spans="19:79" s="4" customFormat="1" x14ac:dyDescent="0.35">
      <c r="S1015" s="6"/>
      <c r="T1015" s="6"/>
      <c r="AC1015" s="5"/>
      <c r="AD1015" s="8"/>
      <c r="AE1015" s="5"/>
      <c r="AF1015" s="5"/>
      <c r="AP1015" s="17"/>
      <c r="AQ1015" s="8"/>
      <c r="AR1015" s="8"/>
      <c r="CA1015" s="18"/>
    </row>
    <row r="1016" spans="19:79" s="4" customFormat="1" x14ac:dyDescent="0.35">
      <c r="S1016" s="6"/>
      <c r="T1016" s="6"/>
      <c r="AC1016" s="5"/>
      <c r="AD1016" s="8"/>
      <c r="AE1016" s="5"/>
      <c r="AF1016" s="5"/>
      <c r="AP1016" s="17"/>
      <c r="AQ1016" s="8"/>
      <c r="AR1016" s="8"/>
      <c r="CA1016" s="18"/>
    </row>
    <row r="1017" spans="19:79" s="4" customFormat="1" x14ac:dyDescent="0.35">
      <c r="S1017" s="6"/>
      <c r="T1017" s="6"/>
      <c r="AC1017" s="5"/>
      <c r="AD1017" s="8"/>
      <c r="AE1017" s="5"/>
      <c r="AF1017" s="5"/>
      <c r="AP1017" s="17"/>
      <c r="AQ1017" s="8"/>
      <c r="AR1017" s="8"/>
      <c r="CA1017" s="18"/>
    </row>
    <row r="1018" spans="19:79" s="4" customFormat="1" x14ac:dyDescent="0.35">
      <c r="S1018" s="6"/>
      <c r="T1018" s="6"/>
      <c r="AC1018" s="5"/>
      <c r="AD1018" s="8"/>
      <c r="AE1018" s="5"/>
      <c r="AF1018" s="5"/>
      <c r="AP1018" s="17"/>
      <c r="AQ1018" s="8"/>
      <c r="AR1018" s="8"/>
      <c r="CA1018" s="18"/>
    </row>
    <row r="1019" spans="19:79" s="4" customFormat="1" x14ac:dyDescent="0.35">
      <c r="S1019" s="6"/>
      <c r="T1019" s="6"/>
      <c r="AC1019" s="5"/>
      <c r="AD1019" s="8"/>
      <c r="AE1019" s="5"/>
      <c r="AF1019" s="5"/>
      <c r="AP1019" s="17"/>
      <c r="AQ1019" s="8"/>
      <c r="AR1019" s="8"/>
      <c r="CA1019" s="18"/>
    </row>
    <row r="1020" spans="19:79" s="4" customFormat="1" x14ac:dyDescent="0.35">
      <c r="S1020" s="6"/>
      <c r="T1020" s="6"/>
      <c r="AC1020" s="5"/>
      <c r="AD1020" s="8"/>
      <c r="AE1020" s="5"/>
      <c r="AF1020" s="5"/>
      <c r="AP1020" s="17"/>
      <c r="AQ1020" s="8"/>
      <c r="AR1020" s="8"/>
      <c r="CA1020" s="18"/>
    </row>
    <row r="1021" spans="19:79" s="4" customFormat="1" x14ac:dyDescent="0.35">
      <c r="S1021" s="6"/>
      <c r="T1021" s="6"/>
      <c r="AC1021" s="5"/>
      <c r="AD1021" s="8"/>
      <c r="AE1021" s="5"/>
      <c r="AF1021" s="5"/>
      <c r="AP1021" s="17"/>
      <c r="AQ1021" s="8"/>
      <c r="AR1021" s="8"/>
      <c r="CA1021" s="18"/>
    </row>
    <row r="1022" spans="19:79" s="4" customFormat="1" x14ac:dyDescent="0.35">
      <c r="S1022" s="6"/>
      <c r="T1022" s="6"/>
      <c r="AC1022" s="5"/>
      <c r="AD1022" s="8"/>
      <c r="AE1022" s="5"/>
      <c r="AF1022" s="5"/>
      <c r="AP1022" s="17"/>
      <c r="AQ1022" s="8"/>
      <c r="AR1022" s="8"/>
      <c r="CA1022" s="18"/>
    </row>
    <row r="1023" spans="19:79" s="4" customFormat="1" x14ac:dyDescent="0.35">
      <c r="S1023" s="6"/>
      <c r="T1023" s="6"/>
      <c r="AC1023" s="5"/>
      <c r="AD1023" s="8"/>
      <c r="AE1023" s="5"/>
      <c r="AF1023" s="5"/>
      <c r="AP1023" s="17"/>
      <c r="AQ1023" s="8"/>
      <c r="AR1023" s="8"/>
      <c r="CA1023" s="18"/>
    </row>
    <row r="1024" spans="19:79" s="4" customFormat="1" x14ac:dyDescent="0.35">
      <c r="S1024" s="6"/>
      <c r="T1024" s="6"/>
      <c r="AC1024" s="5"/>
      <c r="AD1024" s="8"/>
      <c r="AE1024" s="5"/>
      <c r="AF1024" s="5"/>
      <c r="AP1024" s="17"/>
      <c r="AQ1024" s="8"/>
      <c r="AR1024" s="8"/>
      <c r="CA1024" s="18"/>
    </row>
    <row r="1025" spans="19:79" s="4" customFormat="1" x14ac:dyDescent="0.35">
      <c r="S1025" s="6"/>
      <c r="T1025" s="6"/>
      <c r="AC1025" s="5"/>
      <c r="AD1025" s="8"/>
      <c r="AE1025" s="5"/>
      <c r="AF1025" s="5"/>
      <c r="AP1025" s="17"/>
      <c r="AQ1025" s="8"/>
      <c r="AR1025" s="8"/>
      <c r="CA1025" s="18"/>
    </row>
    <row r="1026" spans="19:79" s="4" customFormat="1" x14ac:dyDescent="0.35">
      <c r="S1026" s="6"/>
      <c r="T1026" s="6"/>
      <c r="AC1026" s="5"/>
      <c r="AD1026" s="8"/>
      <c r="AE1026" s="5"/>
      <c r="AF1026" s="5"/>
      <c r="AP1026" s="17"/>
      <c r="AQ1026" s="8"/>
      <c r="AR1026" s="8"/>
      <c r="CA1026" s="18"/>
    </row>
    <row r="1027" spans="19:79" s="4" customFormat="1" x14ac:dyDescent="0.35">
      <c r="S1027" s="6"/>
      <c r="T1027" s="6"/>
      <c r="AC1027" s="5"/>
      <c r="AD1027" s="8"/>
      <c r="AE1027" s="5"/>
      <c r="AF1027" s="5"/>
      <c r="AP1027" s="17"/>
      <c r="AQ1027" s="8"/>
      <c r="AR1027" s="8"/>
      <c r="CA1027" s="18"/>
    </row>
    <row r="1028" spans="19:79" s="4" customFormat="1" x14ac:dyDescent="0.35">
      <c r="S1028" s="6"/>
      <c r="T1028" s="6"/>
      <c r="AC1028" s="5"/>
      <c r="AD1028" s="8"/>
      <c r="AE1028" s="5"/>
      <c r="AF1028" s="5"/>
      <c r="AP1028" s="17"/>
      <c r="AQ1028" s="8"/>
      <c r="AR1028" s="8"/>
      <c r="CA1028" s="18"/>
    </row>
    <row r="1029" spans="19:79" s="4" customFormat="1" x14ac:dyDescent="0.35">
      <c r="S1029" s="6"/>
      <c r="T1029" s="6"/>
      <c r="AC1029" s="5"/>
      <c r="AD1029" s="8"/>
      <c r="AE1029" s="5"/>
      <c r="AF1029" s="5"/>
      <c r="AP1029" s="17"/>
      <c r="AQ1029" s="8"/>
      <c r="AR1029" s="8"/>
      <c r="CA1029" s="18"/>
    </row>
    <row r="1030" spans="19:79" s="4" customFormat="1" x14ac:dyDescent="0.35">
      <c r="S1030" s="6"/>
      <c r="T1030" s="6"/>
      <c r="AC1030" s="5"/>
      <c r="AD1030" s="8"/>
      <c r="AE1030" s="5"/>
      <c r="AF1030" s="5"/>
      <c r="AP1030" s="17"/>
      <c r="AQ1030" s="8"/>
      <c r="AR1030" s="8"/>
      <c r="CA1030" s="18"/>
    </row>
    <row r="1031" spans="19:79" s="4" customFormat="1" x14ac:dyDescent="0.35">
      <c r="S1031" s="6"/>
      <c r="T1031" s="6"/>
      <c r="AC1031" s="5"/>
      <c r="AD1031" s="8"/>
      <c r="AE1031" s="5"/>
      <c r="AF1031" s="5"/>
      <c r="AP1031" s="17"/>
      <c r="AQ1031" s="8"/>
      <c r="AR1031" s="8"/>
      <c r="CA1031" s="18"/>
    </row>
    <row r="1032" spans="19:79" s="4" customFormat="1" x14ac:dyDescent="0.35">
      <c r="S1032" s="6"/>
      <c r="T1032" s="6"/>
      <c r="AC1032" s="5"/>
      <c r="AD1032" s="8"/>
      <c r="AE1032" s="5"/>
      <c r="AF1032" s="5"/>
      <c r="AP1032" s="17"/>
      <c r="AQ1032" s="8"/>
      <c r="AR1032" s="8"/>
      <c r="CA1032" s="18"/>
    </row>
    <row r="1033" spans="19:79" s="4" customFormat="1" x14ac:dyDescent="0.35">
      <c r="S1033" s="6"/>
      <c r="T1033" s="6"/>
      <c r="AC1033" s="5"/>
      <c r="AD1033" s="8"/>
      <c r="AE1033" s="5"/>
      <c r="AF1033" s="5"/>
      <c r="AP1033" s="17"/>
      <c r="AQ1033" s="8"/>
      <c r="AR1033" s="8"/>
      <c r="CA1033" s="18"/>
    </row>
    <row r="1034" spans="19:79" s="4" customFormat="1" x14ac:dyDescent="0.35">
      <c r="S1034" s="6"/>
      <c r="T1034" s="6"/>
      <c r="AC1034" s="5"/>
      <c r="AD1034" s="8"/>
      <c r="AE1034" s="5"/>
      <c r="AF1034" s="5"/>
      <c r="AP1034" s="17"/>
      <c r="AQ1034" s="8"/>
      <c r="AR1034" s="8"/>
      <c r="CA1034" s="18"/>
    </row>
    <row r="1035" spans="19:79" s="4" customFormat="1" x14ac:dyDescent="0.35">
      <c r="S1035" s="6"/>
      <c r="T1035" s="6"/>
      <c r="AC1035" s="5"/>
      <c r="AD1035" s="8"/>
      <c r="AE1035" s="5"/>
      <c r="AF1035" s="5"/>
      <c r="AP1035" s="17"/>
      <c r="AQ1035" s="8"/>
      <c r="AR1035" s="8"/>
      <c r="CA1035" s="18"/>
    </row>
    <row r="1036" spans="19:79" s="4" customFormat="1" x14ac:dyDescent="0.35">
      <c r="S1036" s="6"/>
      <c r="T1036" s="6"/>
      <c r="AC1036" s="5"/>
      <c r="AD1036" s="8"/>
      <c r="AE1036" s="5"/>
      <c r="AF1036" s="5"/>
      <c r="AP1036" s="17"/>
      <c r="AQ1036" s="8"/>
      <c r="AR1036" s="8"/>
      <c r="CA1036" s="18"/>
    </row>
    <row r="1037" spans="19:79" s="4" customFormat="1" x14ac:dyDescent="0.35">
      <c r="S1037" s="6"/>
      <c r="T1037" s="6"/>
      <c r="AC1037" s="5"/>
      <c r="AD1037" s="8"/>
      <c r="AE1037" s="5"/>
      <c r="AF1037" s="5"/>
      <c r="AP1037" s="17"/>
      <c r="AQ1037" s="8"/>
      <c r="AR1037" s="8"/>
      <c r="CA1037" s="18"/>
    </row>
    <row r="1038" spans="19:79" s="4" customFormat="1" x14ac:dyDescent="0.35">
      <c r="S1038" s="6"/>
      <c r="T1038" s="6"/>
      <c r="AC1038" s="5"/>
      <c r="AD1038" s="8"/>
      <c r="AE1038" s="5"/>
      <c r="AF1038" s="5"/>
      <c r="AP1038" s="17"/>
      <c r="AQ1038" s="8"/>
      <c r="AR1038" s="8"/>
      <c r="CA1038" s="18"/>
    </row>
    <row r="1039" spans="19:79" s="4" customFormat="1" x14ac:dyDescent="0.35">
      <c r="S1039" s="6"/>
      <c r="T1039" s="6"/>
      <c r="AC1039" s="5"/>
      <c r="AD1039" s="8"/>
      <c r="AE1039" s="5"/>
      <c r="AF1039" s="5"/>
      <c r="AP1039" s="17"/>
      <c r="AQ1039" s="8"/>
      <c r="AR1039" s="8"/>
      <c r="CA1039" s="18"/>
    </row>
    <row r="1040" spans="19:79" s="4" customFormat="1" x14ac:dyDescent="0.35">
      <c r="S1040" s="6"/>
      <c r="T1040" s="6"/>
      <c r="AC1040" s="5"/>
      <c r="AD1040" s="8"/>
      <c r="AE1040" s="5"/>
      <c r="AF1040" s="5"/>
      <c r="AP1040" s="17"/>
      <c r="AQ1040" s="8"/>
      <c r="AR1040" s="8"/>
      <c r="CA1040" s="18"/>
    </row>
    <row r="1041" spans="19:79" s="4" customFormat="1" x14ac:dyDescent="0.35">
      <c r="S1041" s="6"/>
      <c r="T1041" s="6"/>
      <c r="AC1041" s="5"/>
      <c r="AD1041" s="8"/>
      <c r="AE1041" s="5"/>
      <c r="AF1041" s="5"/>
      <c r="AP1041" s="17"/>
      <c r="AQ1041" s="8"/>
      <c r="AR1041" s="8"/>
      <c r="CA1041" s="18"/>
    </row>
    <row r="1042" spans="19:79" s="4" customFormat="1" x14ac:dyDescent="0.35">
      <c r="S1042" s="6"/>
      <c r="T1042" s="6"/>
      <c r="AC1042" s="5"/>
      <c r="AD1042" s="8"/>
      <c r="AE1042" s="5"/>
      <c r="AF1042" s="5"/>
      <c r="AP1042" s="17"/>
      <c r="AQ1042" s="8"/>
      <c r="AR1042" s="8"/>
      <c r="CA1042" s="18"/>
    </row>
    <row r="1043" spans="19:79" s="4" customFormat="1" x14ac:dyDescent="0.35">
      <c r="S1043" s="6"/>
      <c r="T1043" s="6"/>
      <c r="AC1043" s="5"/>
      <c r="AD1043" s="8"/>
      <c r="AE1043" s="5"/>
      <c r="AF1043" s="5"/>
      <c r="AP1043" s="17"/>
      <c r="AQ1043" s="8"/>
      <c r="AR1043" s="8"/>
      <c r="CA1043" s="18"/>
    </row>
    <row r="1044" spans="19:79" s="4" customFormat="1" x14ac:dyDescent="0.35">
      <c r="S1044" s="6"/>
      <c r="T1044" s="6"/>
      <c r="AC1044" s="5"/>
      <c r="AD1044" s="8"/>
      <c r="AE1044" s="5"/>
      <c r="AF1044" s="5"/>
      <c r="AP1044" s="17"/>
      <c r="AQ1044" s="8"/>
      <c r="AR1044" s="8"/>
      <c r="CA1044" s="18"/>
    </row>
    <row r="1045" spans="19:79" s="4" customFormat="1" x14ac:dyDescent="0.35">
      <c r="S1045" s="6"/>
      <c r="T1045" s="6"/>
      <c r="AC1045" s="5"/>
      <c r="AD1045" s="8"/>
      <c r="AE1045" s="5"/>
      <c r="AF1045" s="5"/>
      <c r="AP1045" s="17"/>
      <c r="AQ1045" s="8"/>
      <c r="AR1045" s="8"/>
      <c r="CA1045" s="18"/>
    </row>
    <row r="1046" spans="19:79" s="4" customFormat="1" x14ac:dyDescent="0.35">
      <c r="S1046" s="6"/>
      <c r="T1046" s="6"/>
      <c r="AC1046" s="5"/>
      <c r="AD1046" s="8"/>
      <c r="AE1046" s="5"/>
      <c r="AF1046" s="5"/>
      <c r="AP1046" s="17"/>
      <c r="AQ1046" s="8"/>
      <c r="AR1046" s="8"/>
      <c r="CA1046" s="18"/>
    </row>
    <row r="1047" spans="19:79" s="4" customFormat="1" x14ac:dyDescent="0.35">
      <c r="S1047" s="6"/>
      <c r="T1047" s="6"/>
      <c r="AC1047" s="5"/>
      <c r="AD1047" s="8"/>
      <c r="AE1047" s="5"/>
      <c r="AF1047" s="5"/>
      <c r="AP1047" s="17"/>
      <c r="AQ1047" s="8"/>
      <c r="AR1047" s="8"/>
      <c r="CA1047" s="18"/>
    </row>
    <row r="1048" spans="19:79" s="4" customFormat="1" x14ac:dyDescent="0.35">
      <c r="S1048" s="6"/>
      <c r="T1048" s="6"/>
      <c r="AC1048" s="5"/>
      <c r="AD1048" s="8"/>
      <c r="AE1048" s="5"/>
      <c r="AF1048" s="5"/>
      <c r="AP1048" s="17"/>
      <c r="AQ1048" s="8"/>
      <c r="AR1048" s="8"/>
      <c r="CA1048" s="18"/>
    </row>
    <row r="1049" spans="19:79" s="4" customFormat="1" x14ac:dyDescent="0.35">
      <c r="S1049" s="6"/>
      <c r="T1049" s="6"/>
      <c r="AC1049" s="5"/>
      <c r="AD1049" s="8"/>
      <c r="AE1049" s="5"/>
      <c r="AF1049" s="5"/>
      <c r="AP1049" s="17"/>
      <c r="AQ1049" s="8"/>
      <c r="AR1049" s="8"/>
      <c r="CA1049" s="18"/>
    </row>
    <row r="1050" spans="19:79" s="4" customFormat="1" x14ac:dyDescent="0.35">
      <c r="S1050" s="6"/>
      <c r="T1050" s="6"/>
      <c r="AC1050" s="5"/>
      <c r="AD1050" s="8"/>
      <c r="AE1050" s="5"/>
      <c r="AF1050" s="5"/>
      <c r="AP1050" s="17"/>
      <c r="AQ1050" s="8"/>
      <c r="AR1050" s="8"/>
      <c r="CA1050" s="18"/>
    </row>
    <row r="1051" spans="19:79" s="4" customFormat="1" x14ac:dyDescent="0.35">
      <c r="S1051" s="6"/>
      <c r="T1051" s="6"/>
      <c r="AC1051" s="5"/>
      <c r="AD1051" s="8"/>
      <c r="AE1051" s="5"/>
      <c r="AF1051" s="5"/>
      <c r="AP1051" s="17"/>
      <c r="AQ1051" s="8"/>
      <c r="AR1051" s="8"/>
      <c r="CA1051" s="18"/>
    </row>
    <row r="1052" spans="19:79" s="4" customFormat="1" x14ac:dyDescent="0.35">
      <c r="S1052" s="6"/>
      <c r="T1052" s="6"/>
      <c r="AC1052" s="5"/>
      <c r="AD1052" s="8"/>
      <c r="AE1052" s="5"/>
      <c r="AF1052" s="5"/>
      <c r="AP1052" s="17"/>
      <c r="AQ1052" s="8"/>
      <c r="AR1052" s="8"/>
      <c r="CA1052" s="18"/>
    </row>
    <row r="1053" spans="19:79" s="4" customFormat="1" x14ac:dyDescent="0.35">
      <c r="S1053" s="6"/>
      <c r="T1053" s="6"/>
      <c r="AC1053" s="5"/>
      <c r="AD1053" s="8"/>
      <c r="AE1053" s="5"/>
      <c r="AF1053" s="5"/>
      <c r="AP1053" s="17"/>
      <c r="AQ1053" s="8"/>
      <c r="AR1053" s="8"/>
      <c r="CA1053" s="18"/>
    </row>
    <row r="1054" spans="19:79" s="4" customFormat="1" x14ac:dyDescent="0.35">
      <c r="S1054" s="6"/>
      <c r="T1054" s="6"/>
      <c r="AC1054" s="5"/>
      <c r="AD1054" s="8"/>
      <c r="AE1054" s="5"/>
      <c r="AF1054" s="5"/>
      <c r="AP1054" s="17"/>
      <c r="AQ1054" s="8"/>
      <c r="AR1054" s="8"/>
      <c r="CA1054" s="18"/>
    </row>
    <row r="1055" spans="19:79" s="4" customFormat="1" x14ac:dyDescent="0.35">
      <c r="S1055" s="6"/>
      <c r="T1055" s="6"/>
      <c r="AC1055" s="5"/>
      <c r="AD1055" s="8"/>
      <c r="AE1055" s="5"/>
      <c r="AF1055" s="5"/>
      <c r="AP1055" s="17"/>
      <c r="AQ1055" s="8"/>
      <c r="AR1055" s="8"/>
      <c r="CA1055" s="18"/>
    </row>
    <row r="1056" spans="19:79" s="4" customFormat="1" x14ac:dyDescent="0.35">
      <c r="S1056" s="6"/>
      <c r="T1056" s="6"/>
      <c r="AC1056" s="5"/>
      <c r="AD1056" s="8"/>
      <c r="AE1056" s="5"/>
      <c r="AF1056" s="5"/>
      <c r="AP1056" s="17"/>
      <c r="AQ1056" s="8"/>
      <c r="AR1056" s="8"/>
      <c r="CA1056" s="18"/>
    </row>
    <row r="1057" spans="19:79" s="4" customFormat="1" x14ac:dyDescent="0.35">
      <c r="S1057" s="6"/>
      <c r="T1057" s="6"/>
      <c r="AC1057" s="5"/>
      <c r="AD1057" s="8"/>
      <c r="AE1057" s="5"/>
      <c r="AF1057" s="5"/>
      <c r="AP1057" s="17"/>
      <c r="AQ1057" s="8"/>
      <c r="AR1057" s="8"/>
      <c r="CA1057" s="18"/>
    </row>
    <row r="1058" spans="19:79" s="4" customFormat="1" x14ac:dyDescent="0.35">
      <c r="S1058" s="6"/>
      <c r="T1058" s="6"/>
      <c r="AC1058" s="5"/>
      <c r="AD1058" s="8"/>
      <c r="AE1058" s="5"/>
      <c r="AF1058" s="5"/>
      <c r="AP1058" s="17"/>
      <c r="AQ1058" s="8"/>
      <c r="AR1058" s="8"/>
      <c r="CA1058" s="18"/>
    </row>
    <row r="1059" spans="19:79" s="4" customFormat="1" x14ac:dyDescent="0.35">
      <c r="S1059" s="6"/>
      <c r="T1059" s="6"/>
      <c r="AC1059" s="5"/>
      <c r="AD1059" s="8"/>
      <c r="AE1059" s="5"/>
      <c r="AF1059" s="5"/>
      <c r="AP1059" s="17"/>
      <c r="AQ1059" s="8"/>
      <c r="AR1059" s="8"/>
      <c r="CA1059" s="18"/>
    </row>
    <row r="1060" spans="19:79" s="4" customFormat="1" x14ac:dyDescent="0.35">
      <c r="S1060" s="6"/>
      <c r="T1060" s="6"/>
      <c r="AC1060" s="5"/>
      <c r="AD1060" s="8"/>
      <c r="AE1060" s="5"/>
      <c r="AF1060" s="5"/>
      <c r="AP1060" s="17"/>
      <c r="AQ1060" s="8"/>
      <c r="AR1060" s="8"/>
      <c r="CA1060" s="18"/>
    </row>
    <row r="1061" spans="19:79" s="4" customFormat="1" x14ac:dyDescent="0.35">
      <c r="S1061" s="6"/>
      <c r="T1061" s="6"/>
      <c r="AC1061" s="5"/>
      <c r="AD1061" s="8"/>
      <c r="AE1061" s="5"/>
      <c r="AF1061" s="5"/>
      <c r="AP1061" s="17"/>
      <c r="AQ1061" s="8"/>
      <c r="AR1061" s="8"/>
      <c r="CA1061" s="18"/>
    </row>
    <row r="1062" spans="19:79" s="4" customFormat="1" x14ac:dyDescent="0.35">
      <c r="S1062" s="6"/>
      <c r="T1062" s="6"/>
      <c r="AC1062" s="5"/>
      <c r="AD1062" s="8"/>
      <c r="AE1062" s="5"/>
      <c r="AF1062" s="5"/>
      <c r="AP1062" s="17"/>
      <c r="AQ1062" s="8"/>
      <c r="AR1062" s="8"/>
      <c r="CA1062" s="18"/>
    </row>
    <row r="1063" spans="19:79" s="4" customFormat="1" x14ac:dyDescent="0.35">
      <c r="S1063" s="6"/>
      <c r="T1063" s="6"/>
      <c r="AC1063" s="5"/>
      <c r="AD1063" s="8"/>
      <c r="AE1063" s="5"/>
      <c r="AF1063" s="5"/>
      <c r="AP1063" s="17"/>
      <c r="AQ1063" s="8"/>
      <c r="AR1063" s="8"/>
      <c r="CA1063" s="18"/>
    </row>
    <row r="1064" spans="19:79" s="4" customFormat="1" x14ac:dyDescent="0.35">
      <c r="S1064" s="6"/>
      <c r="T1064" s="6"/>
      <c r="AC1064" s="5"/>
      <c r="AD1064" s="8"/>
      <c r="AE1064" s="5"/>
      <c r="AF1064" s="5"/>
      <c r="AP1064" s="17"/>
      <c r="AQ1064" s="8"/>
      <c r="AR1064" s="8"/>
      <c r="CA1064" s="18"/>
    </row>
    <row r="1065" spans="19:79" s="4" customFormat="1" x14ac:dyDescent="0.35">
      <c r="S1065" s="6"/>
      <c r="T1065" s="6"/>
      <c r="AC1065" s="5"/>
      <c r="AD1065" s="8"/>
      <c r="AE1065" s="5"/>
      <c r="AF1065" s="5"/>
      <c r="AP1065" s="17"/>
      <c r="AQ1065" s="8"/>
      <c r="AR1065" s="8"/>
      <c r="CA1065" s="18"/>
    </row>
    <row r="1066" spans="19:79" s="4" customFormat="1" x14ac:dyDescent="0.35">
      <c r="S1066" s="6"/>
      <c r="T1066" s="6"/>
      <c r="AC1066" s="5"/>
      <c r="AD1066" s="8"/>
      <c r="AE1066" s="5"/>
      <c r="AF1066" s="5"/>
      <c r="AP1066" s="17"/>
      <c r="AQ1066" s="8"/>
      <c r="AR1066" s="8"/>
      <c r="CA1066" s="18"/>
    </row>
    <row r="1067" spans="19:79" s="4" customFormat="1" x14ac:dyDescent="0.35">
      <c r="S1067" s="6"/>
      <c r="T1067" s="6"/>
      <c r="AC1067" s="5"/>
      <c r="AD1067" s="8"/>
      <c r="AE1067" s="5"/>
      <c r="AF1067" s="5"/>
      <c r="AP1067" s="17"/>
      <c r="AQ1067" s="8"/>
      <c r="AR1067" s="8"/>
      <c r="CA1067" s="18"/>
    </row>
    <row r="1068" spans="19:79" s="4" customFormat="1" x14ac:dyDescent="0.35">
      <c r="S1068" s="6"/>
      <c r="T1068" s="6"/>
      <c r="AC1068" s="5"/>
      <c r="AD1068" s="8"/>
      <c r="AE1068" s="5"/>
      <c r="AF1068" s="5"/>
      <c r="AP1068" s="17"/>
      <c r="AQ1068" s="8"/>
      <c r="AR1068" s="8"/>
      <c r="CA1068" s="18"/>
    </row>
    <row r="1069" spans="19:79" s="4" customFormat="1" x14ac:dyDescent="0.35">
      <c r="S1069" s="6"/>
      <c r="T1069" s="6"/>
      <c r="AC1069" s="5"/>
      <c r="AD1069" s="8"/>
      <c r="AE1069" s="5"/>
      <c r="AF1069" s="5"/>
      <c r="AP1069" s="17"/>
      <c r="AQ1069" s="8"/>
      <c r="AR1069" s="8"/>
      <c r="CA1069" s="18"/>
    </row>
    <row r="1070" spans="19:79" s="4" customFormat="1" x14ac:dyDescent="0.35">
      <c r="S1070" s="6"/>
      <c r="T1070" s="6"/>
      <c r="AC1070" s="5"/>
      <c r="AD1070" s="8"/>
      <c r="AE1070" s="5"/>
      <c r="AF1070" s="5"/>
      <c r="AP1070" s="17"/>
      <c r="AQ1070" s="8"/>
      <c r="AR1070" s="8"/>
      <c r="CA1070" s="1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base_bruta_cod</vt:lpstr>
      <vt:lpstr>questionario_completo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Bezerra</dc:creator>
  <cp:lastModifiedBy>Yago Bezerra</cp:lastModifiedBy>
  <dcterms:created xsi:type="dcterms:W3CDTF">2026-04-08T12:04:11Z</dcterms:created>
  <dcterms:modified xsi:type="dcterms:W3CDTF">2026-04-08T13:11:19Z</dcterms:modified>
</cp:coreProperties>
</file>